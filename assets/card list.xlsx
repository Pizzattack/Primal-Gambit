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2"/>
  <workbookPr/>
  <mc:AlternateContent xmlns:mc="http://schemas.openxmlformats.org/markup-compatibility/2006">
    <mc:Choice Requires="x15">
      <x15ac:absPath xmlns:x15ac="http://schemas.microsoft.com/office/spreadsheetml/2010/11/ac" url="D:\Bureau\"/>
    </mc:Choice>
  </mc:AlternateContent>
  <xr:revisionPtr revIDLastSave="0" documentId="13_ncr:1_{42CC51B3-8EC3-485D-BD16-17D01C0FD051}" xr6:coauthVersionLast="47" xr6:coauthVersionMax="47" xr10:uidLastSave="{00000000-0000-0000-0000-000000000000}"/>
  <bookViews>
    <workbookView xWindow="-270" yWindow="945" windowWidth="20880" windowHeight="13740" tabRatio="500" xr2:uid="{00000000-000D-0000-FFFF-FFFF00000000}"/>
  </bookViews>
  <sheets>
    <sheet name="Cards" sheetId="1" r:id="rId1"/>
    <sheet name="Skills" sheetId="2" r:id="rId2"/>
    <sheet name="Trash" sheetId="3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" i="1" l="1"/>
  <c r="J1" i="1"/>
  <c r="K1" i="1"/>
  <c r="L1" i="1"/>
</calcChain>
</file>

<file path=xl/sharedStrings.xml><?xml version="1.0" encoding="utf-8"?>
<sst xmlns="http://schemas.openxmlformats.org/spreadsheetml/2006/main" count="1174" uniqueCount="583">
  <si>
    <t>Complexité</t>
  </si>
  <si>
    <t>Numero</t>
  </si>
  <si>
    <t>Élément</t>
  </si>
  <si>
    <t>Risk</t>
  </si>
  <si>
    <t>Skill</t>
  </si>
  <si>
    <t>Type</t>
  </si>
  <si>
    <t>Texte du pouvoir (obsolete column, see skill tab)</t>
  </si>
  <si>
    <t>Illustration (main)</t>
  </si>
  <si>
    <t>000</t>
  </si>
  <si>
    <t>Poussière</t>
  </si>
  <si>
    <t>Empty Dust</t>
  </si>
  <si>
    <t>Passif</t>
  </si>
  <si>
    <t>(pas d'abilité)</t>
  </si>
  <si>
    <t>Rat</t>
  </si>
  <si>
    <t>001</t>
  </si>
  <si>
    <t>Eau</t>
  </si>
  <si>
    <t>Empty Water</t>
  </si>
  <si>
    <t>Orb Wisp</t>
  </si>
  <si>
    <t>Void Ray</t>
  </si>
  <si>
    <t>002</t>
  </si>
  <si>
    <t>Tide Monk</t>
  </si>
  <si>
    <t>003</t>
  </si>
  <si>
    <t>Deep Scout</t>
  </si>
  <si>
    <t>004</t>
  </si>
  <si>
    <t>Terre</t>
  </si>
  <si>
    <t>Empty Nature</t>
  </si>
  <si>
    <t>Fern Sprite</t>
  </si>
  <si>
    <t>005</t>
  </si>
  <si>
    <t>Lantern Sprite</t>
  </si>
  <si>
    <t>006</t>
  </si>
  <si>
    <t>Teal Sprite</t>
  </si>
  <si>
    <t>007</t>
  </si>
  <si>
    <t>Feu</t>
  </si>
  <si>
    <t>Empty Fire</t>
  </si>
  <si>
    <t>Ember Sprite</t>
  </si>
  <si>
    <t>008</t>
  </si>
  <si>
    <t>Cinder Imp</t>
  </si>
  <si>
    <t>009</t>
  </si>
  <si>
    <t>Char Sprite</t>
  </si>
  <si>
    <t>010</t>
  </si>
  <si>
    <t>Backstab</t>
  </si>
  <si>
    <t>Manuel</t>
  </si>
  <si>
    <t>Si cette carte est en Égalité, inflige 6 dégâts à l'adversaire.</t>
  </si>
  <si>
    <t>Dusk Guard</t>
  </si>
  <si>
    <t>011</t>
  </si>
  <si>
    <t>Crush</t>
  </si>
  <si>
    <t>Si la carte en face a un Risk de 6 ou moins, change son élément en Poussière.</t>
  </si>
  <si>
    <t>Ash Golem</t>
  </si>
  <si>
    <t>012</t>
  </si>
  <si>
    <t>Defend</t>
  </si>
  <si>
    <t>Réduit le Risk des cartes alliées adjacentes de 3 (minimum 0).</t>
  </si>
  <si>
    <t>Living Isle</t>
  </si>
  <si>
    <t>013</t>
  </si>
  <si>
    <t>Dust Storm</t>
  </si>
  <si>
    <t>Change l'élément de toutes les cartes de cette colonne en Poussière.</t>
  </si>
  <si>
    <t>Marsh Mage</t>
  </si>
  <si>
    <t>014</t>
  </si>
  <si>
    <t>Guard Mark</t>
  </si>
  <si>
    <t>Applique définitivement -2 Risk à cet emplacement.</t>
  </si>
  <si>
    <t>Thorn Warden</t>
  </si>
  <si>
    <t>015</t>
  </si>
  <si>
    <t>Intimidate</t>
  </si>
  <si>
    <t>Si la carte en face partage cet élément et a un Risk inférieur, change-la en Poussière.</t>
  </si>
  <si>
    <t>Char Wraith</t>
  </si>
  <si>
    <t>016</t>
  </si>
  <si>
    <t>Judgement</t>
  </si>
  <si>
    <t>Compare les éléments de cette colonne ; le perdant devient Poussière. En cas d'égalité, les deux deviennent Poussière.</t>
  </si>
  <si>
    <t>Deep Spirit</t>
  </si>
  <si>
    <t>017</t>
  </si>
  <si>
    <t>Mirror</t>
  </si>
  <si>
    <t>Cette carte devient une copie exacte de la carte en face.</t>
  </si>
  <si>
    <t>Orb Scout</t>
  </si>
  <si>
    <t>018</t>
  </si>
  <si>
    <t>Morph</t>
  </si>
  <si>
    <t>Cette carte se transforme en Rat (Poussière, Risk 2).</t>
  </si>
  <si>
    <t>Lava Eye</t>
  </si>
  <si>
    <t>019</t>
  </si>
  <si>
    <t>Overpower</t>
  </si>
  <si>
    <t>Si la carte en face a un Risk de 9 ou plus, change son élément en Poussière.</t>
  </si>
  <si>
    <t>Ash Colossus</t>
  </si>
  <si>
    <t>020</t>
  </si>
  <si>
    <t>Power Reverse</t>
  </si>
  <si>
    <t>Inverse la direction du Multiplicateur de Risk.</t>
  </si>
  <si>
    <t>Tidal Mage</t>
  </si>
  <si>
    <t>021</t>
  </si>
  <si>
    <t>Purify</t>
  </si>
  <si>
    <t>Supprime tout le Risk d'Égalité accumulé sur cet emplacement.</t>
  </si>
  <si>
    <t>Glow Stalker</t>
  </si>
  <si>
    <t>022</t>
  </si>
  <si>
    <t>Refresh</t>
  </si>
  <si>
    <t>Instant</t>
  </si>
  <si>
    <t>Restaure tous les pouvoirs manuels déjà utilisés sur tes cartes.</t>
  </si>
  <si>
    <t>Cinder Baron</t>
  </si>
  <si>
    <t>023</t>
  </si>
  <si>
    <t>Regroup</t>
  </si>
  <si>
    <t>Remplace toutes les cartes de ta main par des cartes aléatoires de ton deck.</t>
  </si>
  <si>
    <t>Dusk Stag</t>
  </si>
  <si>
    <t>024</t>
  </si>
  <si>
    <t>Retreat</t>
  </si>
  <si>
    <t>Remplace cette carte par une carte aléatoire de ton deck.</t>
  </si>
  <si>
    <t>Tide Raider</t>
  </si>
  <si>
    <t>025</t>
  </si>
  <si>
    <t>Strike</t>
  </si>
  <si>
    <t>Inflige 5 dégâts directs à l'adversaire.</t>
  </si>
  <si>
    <t>Ember Brawler</t>
  </si>
  <si>
    <t>026</t>
  </si>
  <si>
    <t>Terrify</t>
  </si>
  <si>
    <t>Remplace la carte adverse en face par une carte aléatoire de son deck.</t>
  </si>
  <si>
    <t>Ash Predator</t>
  </si>
  <si>
    <t>027</t>
  </si>
  <si>
    <t>Torment</t>
  </si>
  <si>
    <t>Si cette carte gagne contre une carte de Risk inférieur, inflige 7 dégâts supplémentaires.</t>
  </si>
  <si>
    <t>Void Reaper</t>
  </si>
  <si>
    <t>028</t>
  </si>
  <si>
    <t>Vendetta</t>
  </si>
  <si>
    <t>Si cette carte perd un combat, inflige 4 dégâts à l'adversaire.</t>
  </si>
  <si>
    <t>Tide Warrior</t>
  </si>
  <si>
    <t>029</t>
  </si>
  <si>
    <t>War Mark</t>
  </si>
  <si>
    <t>Applique définitivement +3 Risk à l'emplacement adverse en face.</t>
  </si>
  <si>
    <t>Leaf Serpent</t>
  </si>
  <si>
    <t>030</t>
  </si>
  <si>
    <t>Betrayal</t>
  </si>
  <si>
    <t>Change le Risk de cette carte à 2, puis échange sa place avec la carte en face.</t>
  </si>
  <si>
    <t>Rift Sorceress</t>
  </si>
  <si>
    <t>031</t>
  </si>
  <si>
    <t>Cede and Seed</t>
  </si>
  <si>
    <t>Change cet élément en Poussière et une autre carte alliée choisie en Terre.</t>
  </si>
  <si>
    <t>Bird Mage</t>
  </si>
  <si>
    <t>032</t>
  </si>
  <si>
    <t>Chameleon</t>
  </si>
  <si>
    <t>Change l'élément de cette carte pour correspondre à une carte alliée adjacente choisie.</t>
  </si>
  <si>
    <t>Deep Witch</t>
  </si>
  <si>
    <t>033</t>
  </si>
  <si>
    <t>Determined</t>
  </si>
  <si>
    <t>Si cette carte est en Égalité, elle est retirée du jeu au lieu de laisser un Risk d'Égalité.</t>
  </si>
  <si>
    <t>Moon Scout</t>
  </si>
  <si>
    <t>034</t>
  </si>
  <si>
    <t>Doppelganger</t>
  </si>
  <si>
    <t>Transforme cette carte en copie exacte d'une carte alliée adjacente choisie.</t>
  </si>
  <si>
    <t>Void Shade</t>
  </si>
  <si>
    <t>035</t>
  </si>
  <si>
    <t>Dustshot</t>
  </si>
  <si>
    <t>Change cette carte en Poussière et une carte ennemie non-opposée choisie en Poussière.</t>
  </si>
  <si>
    <t>Frost archer</t>
  </si>
  <si>
    <t>036</t>
  </si>
  <si>
    <t>Exhaust</t>
  </si>
  <si>
    <t>Empêche l'adversaire d'utiliser son activation de skill de base ce tour.</t>
  </si>
  <si>
    <t>Forge Guard</t>
  </si>
  <si>
    <t>037</t>
  </si>
  <si>
    <t>Extinguish</t>
  </si>
  <si>
    <t>Change une carte ennemie de type Feu choisie en Poussière.</t>
  </si>
  <si>
    <t>Deep Stalker</t>
  </si>
  <si>
    <t>038</t>
  </si>
  <si>
    <t>Flow Change</t>
  </si>
  <si>
    <t>Si une carte alliée adjacente est Eau, change l'élément de la carte en face en Eau.</t>
  </si>
  <si>
    <t>Abyss Crone</t>
  </si>
  <si>
    <t>039</t>
  </si>
  <si>
    <t>Ignite</t>
  </si>
  <si>
    <t>Change l'élément d'une autre carte alliée choisie en Feu.</t>
  </si>
  <si>
    <t>Ember Eye</t>
  </si>
  <si>
    <t>040</t>
  </si>
  <si>
    <t>Leap</t>
  </si>
  <si>
    <t>Déplace cette carte vers un emplacement allié vide choisi.</t>
  </si>
  <si>
    <t>Vine Stalker</t>
  </si>
  <si>
    <t>041</t>
  </si>
  <si>
    <t>Maneuver</t>
  </si>
  <si>
    <t>Échange la position de cette carte avec une carte alliée adjacente choisie.</t>
  </si>
  <si>
    <t>Moon Leaper</t>
  </si>
  <si>
    <t>042</t>
  </si>
  <si>
    <t>Overgrowth</t>
  </si>
  <si>
    <t>Choisissez un élément ; toutes les cartes de cet élément deviennent Terre.</t>
  </si>
  <si>
    <t>Ancient Oak</t>
  </si>
  <si>
    <t>043</t>
  </si>
  <si>
    <t>Void</t>
  </si>
  <si>
    <t>Désactive définitivement tous les skills manuels de la carte ennemie choisie.</t>
  </si>
  <si>
    <t>Void Kraken</t>
  </si>
  <si>
    <t>044</t>
  </si>
  <si>
    <t>Break Chant</t>
  </si>
  <si>
    <t>Retire la carte Chant active de l'adversaire de son emplacement.</t>
  </si>
  <si>
    <t>Ember King</t>
  </si>
  <si>
    <t>045</t>
  </si>
  <si>
    <t>Chant of Barter</t>
  </si>
  <si>
    <t>Chant</t>
  </si>
  <si>
    <t>Échange les mains avec l'adversaire si les deux joueurs ont le même nombre de cartes.</t>
  </si>
  <si>
    <t>Deep Monk</t>
  </si>
  <si>
    <t>046</t>
  </si>
  <si>
    <t>Chant of Despair</t>
  </si>
  <si>
    <t>Si vous avez 15 PV ou moins, change l'élément d'une carte ennemie choisie en Poussière.</t>
  </si>
  <si>
    <t>Null Mage</t>
  </si>
  <si>
    <t>047</t>
  </si>
  <si>
    <t>Chant of Leap</t>
  </si>
  <si>
    <t>Déplace une de vos cartes vers n'importe quel emplacement vide de votre côté.</t>
  </si>
  <si>
    <t>Vine Ranger</t>
  </si>
  <si>
    <t>048</t>
  </si>
  <si>
    <t>Chant of Overkill</t>
  </si>
  <si>
    <t>Chaque fois qu'une carte ennemie perd un combat, inflige 3 dégâts supplémentaires.</t>
  </si>
  <si>
    <t>Ember Titan</t>
  </si>
  <si>
    <t>049</t>
  </si>
  <si>
    <t>Chant of Purify All</t>
  </si>
  <si>
    <t>Supprime tout le Risk d'Égalité présent sur le plateau.</t>
  </si>
  <si>
    <t>Root Warden</t>
  </si>
  <si>
    <t>050</t>
  </si>
  <si>
    <t>Chant of Regroup</t>
  </si>
  <si>
    <t>Flame Altar</t>
  </si>
  <si>
    <t>051</t>
  </si>
  <si>
    <t>Chant of Substitution</t>
  </si>
  <si>
    <t>Remplace une carte choisie de ta main par une carte aléatoire de ton deck.</t>
  </si>
  <si>
    <t>Jade Golem</t>
  </si>
  <si>
    <t>052</t>
  </si>
  <si>
    <t>Chant of Void All</t>
  </si>
  <si>
    <t>Désactive tous les skills manuels actuellement sur le plateau.</t>
  </si>
  <si>
    <t>Trident King</t>
  </si>
  <si>
    <t>053</t>
  </si>
  <si>
    <t>Disguise Ally</t>
  </si>
  <si>
    <t>Change cette carte en Poussière, puis une carte alliée choisie devient une copie exacte d'une carte ennemie choisie.</t>
  </si>
  <si>
    <t>Dusk Fiend</t>
  </si>
  <si>
    <t>054</t>
  </si>
  <si>
    <t>Seal</t>
  </si>
  <si>
    <t>Quand cette carte est défaite, tu ne subis que les dégâts égaux à son propre Risk.</t>
  </si>
  <si>
    <t>Thorn Keeper</t>
  </si>
  <si>
    <t>055</t>
  </si>
  <si>
    <t>Mimic</t>
  </si>
  <si>
    <t>056</t>
  </si>
  <si>
    <t>Power Shift</t>
  </si>
  <si>
    <t>057</t>
  </si>
  <si>
    <t>Vampire Kiss</t>
  </si>
  <si>
    <t>058</t>
  </si>
  <si>
    <t>Crusher</t>
  </si>
  <si>
    <t>059</t>
  </si>
  <si>
    <t>Defender</t>
  </si>
  <si>
    <t>060</t>
  </si>
  <si>
    <t>Earth Charge</t>
  </si>
  <si>
    <t>061</t>
  </si>
  <si>
    <t>Fire Charge</t>
  </si>
  <si>
    <t>062</t>
  </si>
  <si>
    <t>Purifier</t>
  </si>
  <si>
    <t>063</t>
  </si>
  <si>
    <t>Rare Guard Mark</t>
  </si>
  <si>
    <t>064</t>
  </si>
  <si>
    <t>Rare War Mark</t>
  </si>
  <si>
    <t>065</t>
  </si>
  <si>
    <t>Striker</t>
  </si>
  <si>
    <t>066</t>
  </si>
  <si>
    <t>Suicidal</t>
  </si>
  <si>
    <t>Passive Weakness</t>
  </si>
  <si>
    <t>067</t>
  </si>
  <si>
    <t>Trap</t>
  </si>
  <si>
    <t>068</t>
  </si>
  <si>
    <t>Disenchanter</t>
  </si>
  <si>
    <t>069</t>
  </si>
  <si>
    <t>Earth Totem</t>
  </si>
  <si>
    <t>070</t>
  </si>
  <si>
    <t>Fire Totem</t>
  </si>
  <si>
    <t>071</t>
  </si>
  <si>
    <t>Madness</t>
  </si>
  <si>
    <t>072</t>
  </si>
  <si>
    <t>Revealer</t>
  </si>
  <si>
    <t>073</t>
  </si>
  <si>
    <t>Water Totem</t>
  </si>
  <si>
    <t>Complexity</t>
  </si>
  <si>
    <t>Risk Cost</t>
  </si>
  <si>
    <t>Detailed Effect</t>
  </si>
  <si>
    <t>Passive</t>
  </si>
  <si>
    <t>0</t>
  </si>
  <si>
    <t>This card has no ability</t>
  </si>
  <si>
    <t>Manual</t>
  </si>
  <si>
    <t>+1</t>
  </si>
  <si>
    <t>If this card is Deadlocked in battle, deal 6 damage to the opponent.</t>
  </si>
  <si>
    <t>+2</t>
  </si>
  <si>
    <t>If the opposite card has Risk 6 or less, change its element to Dust.</t>
  </si>
  <si>
    <t>Reduce adjacent allied cards' Risk by 3 (minimum Risk 0).</t>
  </si>
  <si>
    <t>+3</t>
  </si>
  <si>
    <t>Change every card in this column to the Dust element.</t>
  </si>
  <si>
    <t>Permanently apply -2 Risk to this slot.</t>
  </si>
  <si>
    <t>+4</t>
  </si>
  <si>
    <t>If the opposite card shares this card's element and has lower Risk, change it to Dust.</t>
  </si>
  <si>
    <t>Compare both elements in this column; convert the losing card to Dust. If tied, both become Dust.</t>
  </si>
  <si>
    <t>Copy the skill of the opposite non-Hero card. The copied skill is ready to use.</t>
  </si>
  <si>
    <t>Change this card's element to match the opposite card.</t>
  </si>
  <si>
    <t>Transform this card into a Rat (Dust element, Risk 2).</t>
  </si>
  <si>
    <t>+5</t>
  </si>
  <si>
    <t>If the opposite card has Risk 9 or greater, change it to Dust.</t>
  </si>
  <si>
    <t>Reverse the direction of the Risk Multiplier.</t>
  </si>
  <si>
    <t>Remove all Deadlock Risk from this slot.</t>
  </si>
  <si>
    <t>Restore all previously used manual skills on your cards.</t>
  </si>
  <si>
    <t>Replace every card in your hand with random cards from your deck.</t>
  </si>
  <si>
    <t>Replace this card with a random card drawn from your deck.</t>
  </si>
  <si>
    <t>Deal 5 direct damage to the opponent.</t>
  </si>
  <si>
    <t>Replace the opposite opponent card with a random card from their deck.</t>
  </si>
  <si>
    <t>If this card wins a battle against a lower-Risk card, deal 7 additional damage to the opponent.</t>
  </si>
  <si>
    <t>If this card loses a battle, deal 4 damage to the opponent.</t>
  </si>
  <si>
    <t>Permanently apply +3 Risk to the opposite slot.</t>
  </si>
  <si>
    <t>+6</t>
  </si>
  <si>
    <t>Change the Risk of this card to 2, then switch places with the opposite card.</t>
  </si>
  <si>
    <t>Change this card's element to Dust and another chosen allied card to Earth.</t>
  </si>
  <si>
    <t>Change this card's element to match a chosen adjacent allied card.</t>
  </si>
  <si>
    <t>If this card Deadlocks in battle, remove it from the table instead of leaving Deadlock Risk.</t>
  </si>
  <si>
    <t>Transform this card into an exact copy of a chosen adjacent allied card.</t>
  </si>
  <si>
    <t>Change this card to Dust and also change a chosen non-opposite enemy card to Dust.</t>
  </si>
  <si>
    <t>Prevent the opponent from using their basic skill activation this turn.</t>
  </si>
  <si>
    <t>Change a chosen Fire-element opponent card into Dust.</t>
  </si>
  <si>
    <t>If an adjacent allied card is Water, change the opposite card's element to Water.</t>
  </si>
  <si>
    <t>Change another chosen allied card's element to Fire.</t>
  </si>
  <si>
    <t>Move this card to a chosen empty allied slot.</t>
  </si>
  <si>
    <t>+7</t>
  </si>
  <si>
    <t>Switch positions with a chosen adjacent allied card.</t>
  </si>
  <si>
    <t>Choose an element; all cards of that element become Earth.</t>
  </si>
  <si>
    <t>Move the Risk Multiplier to a chosen column.</t>
  </si>
  <si>
    <t>Make one of your cards become an exact copy of this card.</t>
  </si>
  <si>
    <t>Disable all manual skills on the chosen opponent card.</t>
  </si>
  <si>
    <t>Immediately change the opposite card to Dust if its Risk is 6 or less.</t>
  </si>
  <si>
    <t>Adjacent allied cards gain -3 Risk immediately (minimum 0).</t>
  </si>
  <si>
    <t>Change this card to Dust, then make another chosen allied card become an exact copy of a chosen opponent card.</t>
  </si>
  <si>
    <t>Deal 3 damage to the opponent for each Earth card you control in play.</t>
  </si>
  <si>
    <t>Deal 3 damage to the opponent for each Fire card you control in play.</t>
  </si>
  <si>
    <t>When this card is defeated, you only take damage equal to its own Risk value.</t>
  </si>
  <si>
    <t>Immediately deal 3 direct damage to the opponent when played.</t>
  </si>
  <si>
    <t>-3</t>
  </si>
  <si>
    <t>If this card wins a battle, it becomes Deadlocked.</t>
  </si>
  <si>
    <t>+10</t>
  </si>
  <si>
    <t>Place this card opposite an empty slot. When an enemy card is played there, deal damage equal to that card's Risk, then change this card to Dust.</t>
  </si>
  <si>
    <t>Remove the opponent's active Chant card from the Chant slot.</t>
  </si>
  <si>
    <t>Exchange hands with the opponent if both players have the same number of cards in hand.</t>
  </si>
  <si>
    <t>If you have 15 HP or less, change a chosen opponent card's element to Dust.</t>
  </si>
  <si>
    <t>+14</t>
  </si>
  <si>
    <t>Move one of your cards to any empty slot on your side of the table.</t>
  </si>
  <si>
    <t>+12</t>
  </si>
  <si>
    <t>Whenever an opponent card loses a battle, deal 3 additional damage.</t>
  </si>
  <si>
    <t>+8</t>
  </si>
  <si>
    <t>Remove all Deadlock Risk currently on the board.</t>
  </si>
  <si>
    <t>Replace all cards in your hand with random cards from your deck.</t>
  </si>
  <si>
    <t>Replace a chosen card from your hand with a random card from your deck.</t>
  </si>
  <si>
    <t>Disable all manual skills currently on the table.</t>
  </si>
  <si>
    <t>Remove the opponent's active Chant card.</t>
  </si>
  <si>
    <t>Gain one additional skill activation usable only by Earth cards.</t>
  </si>
  <si>
    <t>Gain one additional skill activation usable only by Fire cards.</t>
  </si>
  <si>
    <t>-4</t>
  </si>
  <si>
    <t>This card is automatically played into a random available slot.</t>
  </si>
  <si>
    <t>Reveal the elements of the opponent's hand for this turn.</t>
  </si>
  <si>
    <t>Gain one additional skill activation usable only by Water cards.</t>
  </si>
  <si>
    <t>Card Name</t>
  </si>
  <si>
    <t>Element</t>
  </si>
  <si>
    <t>Ability</t>
  </si>
  <si>
    <t>Confidence</t>
  </si>
  <si>
    <t>Faction (Estimated)</t>
  </si>
  <si>
    <t>Gameplay Role</t>
  </si>
  <si>
    <t>Source Evidence</t>
  </si>
  <si>
    <t>Notes</t>
  </si>
  <si>
    <t>Backstabber</t>
  </si>
  <si>
    <t>High</t>
  </si>
  <si>
    <t>Rogues</t>
  </si>
  <si>
    <t>Position-based assassin</t>
  </si>
  <si>
    <t>Skill naming convention + rogue archetypes</t>
  </si>
  <si>
    <t>Likely synergy with Maneuver cards.</t>
  </si>
  <si>
    <t>Crazed Rogue</t>
  </si>
  <si>
    <t>Medium</t>
  </si>
  <si>
    <t>Garrot</t>
  </si>
  <si>
    <t>Wererat</t>
  </si>
  <si>
    <t>Dust</t>
  </si>
  <si>
    <t>Backstab/Morph</t>
  </si>
  <si>
    <t>Morph assassin</t>
  </si>
  <si>
    <t>Morph + backstab archetypes</t>
  </si>
  <si>
    <t>Fits Dust rogue hybrid.</t>
  </si>
  <si>
    <t>Traitor</t>
  </si>
  <si>
    <t>Enemy conversion</t>
  </si>
  <si>
    <t>Betrayal reconstruction</t>
  </si>
  <si>
    <t>Potential swing card.</t>
  </si>
  <si>
    <t>Banisher</t>
  </si>
  <si>
    <t>Fire</t>
  </si>
  <si>
    <t>Confirmed</t>
  </si>
  <si>
    <t>Mages</t>
  </si>
  <si>
    <t>Anti-chant control</t>
  </si>
  <si>
    <t>Archived wiki card page + patch discussions</t>
  </si>
  <si>
    <t>One of the few fully confirmed cards.</t>
  </si>
  <si>
    <t>Changeling</t>
  </si>
  <si>
    <t>Adaptive utility</t>
  </si>
  <si>
    <t>Chameleon skill</t>
  </si>
  <si>
    <t>Probably changed element dynamically.</t>
  </si>
  <si>
    <t>Hierophant</t>
  </si>
  <si>
    <t>Totem/chant engine</t>
  </si>
  <si>
    <t>Skill archaeology</t>
  </si>
  <si>
    <t>Potential combo enabler.</t>
  </si>
  <si>
    <t>Sorceress</t>
  </si>
  <si>
    <t>Chant support</t>
  </si>
  <si>
    <t>Chant mechanics</t>
  </si>
  <si>
    <t>Break Chant likely targeted these decks.</t>
  </si>
  <si>
    <t>Queen Najha</t>
  </si>
  <si>
    <t>Charm</t>
  </si>
  <si>
    <t>Low</t>
  </si>
  <si>
    <t>Succubus</t>
  </si>
  <si>
    <t>Charm/Mimic</t>
  </si>
  <si>
    <t>Charm manipulation</t>
  </si>
  <si>
    <t>Charm + corruption theme</t>
  </si>
  <si>
    <t>Probably control-oriented.</t>
  </si>
  <si>
    <t>Calm Giant</t>
  </si>
  <si>
    <t>Earth</t>
  </si>
  <si>
    <t>Ironbeard</t>
  </si>
  <si>
    <t>Earth Giant</t>
  </si>
  <si>
    <t>Defend/Earth Charge</t>
  </si>
  <si>
    <t>Warriors</t>
  </si>
  <si>
    <t>High-risk tank</t>
  </si>
  <si>
    <t>Element archetype consistency</t>
  </si>
  <si>
    <t>Earth had strong mitigation theme.</t>
  </si>
  <si>
    <t>Guardian</t>
  </si>
  <si>
    <t>Defend/Guard Mark</t>
  </si>
  <si>
    <t>Defensive anchor</t>
  </si>
  <si>
    <t>Earth defensive archetype</t>
  </si>
  <si>
    <t>Probably reduced adjacent risk.</t>
  </si>
  <si>
    <t>Tank/mitigation</t>
  </si>
  <si>
    <t>Skill naming convention</t>
  </si>
  <si>
    <t>Probably foundational defensive card.</t>
  </si>
  <si>
    <t>Ice Collossus</t>
  </si>
  <si>
    <t>Water</t>
  </si>
  <si>
    <t>Winter Giant</t>
  </si>
  <si>
    <t>Shapeshifter</t>
  </si>
  <si>
    <t>Adaptive copy unit</t>
  </si>
  <si>
    <t>Gameplay naming pattern</t>
  </si>
  <si>
    <t>Probably tied to Doppelganger.</t>
  </si>
  <si>
    <t>Gorgon</t>
  </si>
  <si>
    <t>Coward</t>
  </si>
  <si>
    <t>Escape</t>
  </si>
  <si>
    <t>Sin Eater</t>
  </si>
  <si>
    <t>Silence/control</t>
  </si>
  <si>
    <t>Exhaust association</t>
  </si>
  <si>
    <t>Fits corruption disruption theme.</t>
  </si>
  <si>
    <t>Fire Wraith</t>
  </si>
  <si>
    <t>Aggressive elemental attacker</t>
  </si>
  <si>
    <t>Charge skill reconstruction</t>
  </si>
  <si>
    <t>Likely fragile but high output.</t>
  </si>
  <si>
    <t>Blue Mage</t>
  </si>
  <si>
    <t>Lake Master</t>
  </si>
  <si>
    <t>Element manipulation</t>
  </si>
  <si>
    <t>Flow Change reconstruction</t>
  </si>
  <si>
    <t>Likely core Water support card.</t>
  </si>
  <si>
    <t>Serpent</t>
  </si>
  <si>
    <t>Elf Captain</t>
  </si>
  <si>
    <t>Cindarius</t>
  </si>
  <si>
    <t>Incinerator</t>
  </si>
  <si>
    <t>Element conversion burn</t>
  </si>
  <si>
    <t>Ignite mechanics</t>
  </si>
  <si>
    <t>Likely punished Earth decks.</t>
  </si>
  <si>
    <t>Dervish</t>
  </si>
  <si>
    <t>Haster</t>
  </si>
  <si>
    <t>Ice Rogue</t>
  </si>
  <si>
    <t>Mobile disruption</t>
  </si>
  <si>
    <t>Maneuver association</t>
  </si>
  <si>
    <t>Likely Water rogue faction.</t>
  </si>
  <si>
    <t>Mustang</t>
  </si>
  <si>
    <t>Tornado</t>
  </si>
  <si>
    <t>Board manipulation</t>
  </si>
  <si>
    <t>Movement skill associations</t>
  </si>
  <si>
    <t>Likely repositioned enemies.</t>
  </si>
  <si>
    <t>Wild Rider</t>
  </si>
  <si>
    <t>Wolf Carriage</t>
  </si>
  <si>
    <t>Mimic Mage</t>
  </si>
  <si>
    <t>Skill-copy utility</t>
  </si>
  <si>
    <t>Likely copied activated skills.</t>
  </si>
  <si>
    <t>Puppeteer</t>
  </si>
  <si>
    <t>Mimic/Mirror</t>
  </si>
  <si>
    <t>Mirrorgaze</t>
  </si>
  <si>
    <t>Enemy copy/control</t>
  </si>
  <si>
    <t>Mirror skill</t>
  </si>
  <si>
    <t>Likely a high skill-expression card.</t>
  </si>
  <si>
    <t>Reptilian</t>
  </si>
  <si>
    <t>Sand Flower</t>
  </si>
  <si>
    <t>Wood Spirit</t>
  </si>
  <si>
    <t>Element support</t>
  </si>
  <si>
    <t>Overgrowth skill association</t>
  </si>
  <si>
    <t>Likely enabled Earth combos.</t>
  </si>
  <si>
    <t>Druid</t>
  </si>
  <si>
    <t>Overgrowth/Purify</t>
  </si>
  <si>
    <t>Behemoth</t>
  </si>
  <si>
    <t>Goliath</t>
  </si>
  <si>
    <t>Lava Golem</t>
  </si>
  <si>
    <t>Leviathan</t>
  </si>
  <si>
    <t>Late-game finisher</t>
  </si>
  <si>
    <t>Reviews mentioning giant creatures</t>
  </si>
  <si>
    <t>Probably among highest risks in game.</t>
  </si>
  <si>
    <t>Magmax</t>
  </si>
  <si>
    <t>Overpower/Crush</t>
  </si>
  <si>
    <t>Deva</t>
  </si>
  <si>
    <t>Jade Cleric</t>
  </si>
  <si>
    <t>Justicar</t>
  </si>
  <si>
    <t>Lady of Rain</t>
  </si>
  <si>
    <t>Purify/Chant</t>
  </si>
  <si>
    <t>Fire Scout</t>
  </si>
  <si>
    <t>Gazer</t>
  </si>
  <si>
    <t>Green Crow</t>
  </si>
  <si>
    <t>Recon utility</t>
  </si>
  <si>
    <t>Revealer association</t>
  </si>
  <si>
    <t>Possibly low-risk support card.</t>
  </si>
  <si>
    <t>Spymistress</t>
  </si>
  <si>
    <t>Information control</t>
  </si>
  <si>
    <t>Revealer skill</t>
  </si>
  <si>
    <t>Hand-reading tactical card.</t>
  </si>
  <si>
    <t>Berserker</t>
  </si>
  <si>
    <t>Hunters</t>
  </si>
  <si>
    <t>Magic Archer</t>
  </si>
  <si>
    <t>Poacher</t>
  </si>
  <si>
    <t>Spark</t>
  </si>
  <si>
    <t>Basurk Axer</t>
  </si>
  <si>
    <t>Aggro finisher</t>
  </si>
  <si>
    <t>Archived wiki card page</t>
  </si>
  <si>
    <t>Confirmed Fire warrior using Striker.</t>
  </si>
  <si>
    <t>Howler</t>
  </si>
  <si>
    <t>Papa Mort</t>
  </si>
  <si>
    <t>Fear/disruption</t>
  </si>
  <si>
    <t>Terrify skill</t>
  </si>
  <si>
    <t>Likely legendary-style control unit.</t>
  </si>
  <si>
    <t>Accursed</t>
  </si>
  <si>
    <t>Probable</t>
  </si>
  <si>
    <t>Devourer</t>
  </si>
  <si>
    <t>Executioner</t>
  </si>
  <si>
    <t>Mordak</t>
  </si>
  <si>
    <t>Punisher</t>
  </si>
  <si>
    <t>Removal/pressure</t>
  </si>
  <si>
    <t>Torment meta references</t>
  </si>
  <si>
    <t>Possibly nerfed indirectly.</t>
  </si>
  <si>
    <t>Sage</t>
  </si>
  <si>
    <t>Totem</t>
  </si>
  <si>
    <t>Channeler</t>
  </si>
  <si>
    <t>Totem/Chant</t>
  </si>
  <si>
    <t>Vampire</t>
  </si>
  <si>
    <t>Drain/copy control</t>
  </si>
  <si>
    <t>Skill list + corruption theme</t>
  </si>
  <si>
    <t>Likely powerful mid/high risk card.</t>
  </si>
  <si>
    <t>Sea Avenger</t>
  </si>
  <si>
    <t>Retaliation unit</t>
  </si>
  <si>
    <t>Vendetta naming association</t>
  </si>
  <si>
    <t>Possibly strong in tempo decks.</t>
  </si>
  <si>
    <t>Underdog</t>
  </si>
  <si>
    <t>Widow</t>
  </si>
  <si>
    <t>Revenge utility</t>
  </si>
  <si>
    <t>Vendetta skill references</t>
  </si>
  <si>
    <t>Likely low risk tactical card.</t>
  </si>
  <si>
    <t>Black Lord</t>
  </si>
  <si>
    <t>Forsaken</t>
  </si>
  <si>
    <t>Mage Slayer</t>
  </si>
  <si>
    <t>Void/Exhaust</t>
  </si>
  <si>
    <t>Anti-skill disruptor</t>
  </si>
  <si>
    <t>Void/Exhaust meta</t>
  </si>
  <si>
    <t>Probably anti-control tech.</t>
  </si>
  <si>
    <t>Acterak</t>
  </si>
  <si>
    <t>Unknown</t>
  </si>
  <si>
    <t>Ann Drake</t>
  </si>
  <si>
    <t>Aqoo</t>
  </si>
  <si>
    <t>Belcadria</t>
  </si>
  <si>
    <t>Borgia'na</t>
  </si>
  <si>
    <t>Earth Goblin I</t>
  </si>
  <si>
    <t>Earth Goblin II</t>
  </si>
  <si>
    <t>Earth Goblin III</t>
  </si>
  <si>
    <t>Fiir</t>
  </si>
  <si>
    <t>Fire Goblin I</t>
  </si>
  <si>
    <t>Fire Goblin II</t>
  </si>
  <si>
    <t>Fire Goblin III</t>
  </si>
  <si>
    <t>Gaiir</t>
  </si>
  <si>
    <t>Herne</t>
  </si>
  <si>
    <t>Jarved</t>
  </si>
  <si>
    <t>Maia</t>
  </si>
  <si>
    <t>Quinn Locke</t>
  </si>
  <si>
    <t>Water Goblin I</t>
  </si>
  <si>
    <t>Water Goblin II</t>
  </si>
  <si>
    <t>Water Goblin III</t>
  </si>
  <si>
    <t>Wildling</t>
  </si>
  <si>
    <t>Lotus Monk</t>
  </si>
  <si>
    <t>Shroom Titan</t>
  </si>
  <si>
    <t>Marsh Shade</t>
  </si>
  <si>
    <t>Wind Sprite</t>
  </si>
  <si>
    <t>Twilight Druid</t>
  </si>
  <si>
    <t>Sand Sorceress</t>
  </si>
  <si>
    <t>Teal Jellyfish</t>
  </si>
  <si>
    <t>Spine Shell</t>
  </si>
  <si>
    <t>Solar Witch</t>
  </si>
  <si>
    <t>Orb Crustacean</t>
  </si>
  <si>
    <t>Torch Wanderer</t>
  </si>
  <si>
    <t>Rune Sprite</t>
  </si>
  <si>
    <t>Molten Drake</t>
  </si>
  <si>
    <t>Lantern Hag</t>
  </si>
  <si>
    <t>Iron Colossus</t>
  </si>
  <si>
    <t>Flame Deity</t>
  </si>
  <si>
    <t>Abyss Dancer</t>
  </si>
  <si>
    <t>Moss Golem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</si>
</sst>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13" x14ac:knownFonts="1">
    <font>
      <sz val="11"/>
      <color theme="1"/>
      <name val="Calibri"/>
      <family val="2"/>
      <charset val="1"/>
    </font>
    <font>
      <b/>
      <sz val="11"/>
      <color rgb="FFD4AF37"/>
      <name val="Arial"/>
      <charset val="1"/>
    </font>
    <font>
      <b/>
      <sz val="9"/>
      <color rgb="FFD4AF37"/>
      <name val="Arial"/>
      <family val="2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name val="Arial"/>
      <family val="2"/>
      <charset val="1"/>
    </font>
    <font>
      <sz val="9"/>
      <color rgb="FF000000"/>
      <name val="Arial"/>
      <family val="2"/>
      <charset val="1"/>
    </font>
    <font>
      <sz val="11"/>
      <name val="Arial"/>
      <charset val="1"/>
    </font>
    <font>
      <sz val="11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color theme="1"/>
      <name val="Calibri"/>
      <family val="2"/>
      <charset val="1"/>
    </font>
    <font>
      <sz val="1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A1A2E"/>
        <bgColor rgb="FF2D2D2D"/>
      </patternFill>
    </fill>
    <fill>
      <patternFill patternType="solid">
        <fgColor rgb="FF2D2D2D"/>
        <bgColor rgb="FF1A1A2E"/>
      </patternFill>
    </fill>
    <fill>
      <patternFill patternType="solid">
        <fgColor theme="3" tint="0.59987182226020086"/>
        <bgColor rgb="FF9999FF"/>
      </patternFill>
    </fill>
    <fill>
      <patternFill patternType="solid">
        <fgColor theme="5" tint="0.59987182226020086"/>
        <bgColor rgb="FFBFBFBF"/>
      </patternFill>
    </fill>
    <fill>
      <patternFill patternType="solid">
        <fgColor theme="6" tint="0.39988402966399123"/>
        <bgColor rgb="FFBFBFBF"/>
      </patternFill>
    </fill>
    <fill>
      <patternFill patternType="solid">
        <fgColor theme="0" tint="-0.249977111117893"/>
        <bgColor rgb="FFC3D69B"/>
      </patternFill>
    </fill>
    <fill>
      <patternFill patternType="solid">
        <fgColor rgb="FFE0F0FF"/>
        <bgColor rgb="FFE8F4E8"/>
      </patternFill>
    </fill>
    <fill>
      <patternFill patternType="solid">
        <fgColor rgb="FFE8F5E0"/>
        <bgColor rgb="FFE8F4E8"/>
      </patternFill>
    </fill>
    <fill>
      <patternFill patternType="solid">
        <fgColor rgb="FFE8F4E8"/>
        <bgColor rgb="FFE8F5E0"/>
      </patternFill>
    </fill>
    <fill>
      <patternFill patternType="solid">
        <fgColor rgb="FFFFF3CD"/>
        <bgColor rgb="FFE8F5E0"/>
      </patternFill>
    </fill>
    <fill>
      <patternFill patternType="solid">
        <fgColor rgb="FFF0F0F0"/>
        <bgColor rgb="FFE8F4E8"/>
      </patternFill>
    </fill>
    <fill>
      <patternFill patternType="solid">
        <fgColor rgb="FFF3E0D0"/>
        <bgColor rgb="FFFFF3CD"/>
      </patternFill>
    </fill>
  </fills>
  <borders count="3">
    <border>
      <left/>
      <right/>
      <top/>
      <bottom/>
      <diagonal/>
    </border>
    <border>
      <left style="thin">
        <color rgb="FFD4AF37"/>
      </left>
      <right style="thin">
        <color rgb="FFD4AF37"/>
      </right>
      <top style="thin">
        <color rgb="FFD4AF37"/>
      </top>
      <bottom style="thin">
        <color rgb="FFD4AF3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1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49" fontId="4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10" borderId="0" xfId="0" applyFont="1" applyFill="1" applyAlignment="1">
      <alignment horizontal="left"/>
    </xf>
    <xf numFmtId="0" fontId="7" fillId="11" borderId="0" xfId="0" applyFont="1" applyFill="1" applyAlignment="1">
      <alignment horizontal="left"/>
    </xf>
    <xf numFmtId="0" fontId="8" fillId="10" borderId="0" xfId="0" applyFont="1" applyFill="1" applyAlignment="1">
      <alignment horizontal="left"/>
    </xf>
    <xf numFmtId="0" fontId="5" fillId="9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  <xf numFmtId="49" fontId="4" fillId="1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49" fontId="10" fillId="0" borderId="2" xfId="0" applyNumberFormat="1" applyFont="1" applyBorder="1" applyAlignment="1">
      <alignment horizontal="center"/>
    </xf>
    <xf numFmtId="0" fontId="10" fillId="0" borderId="2" xfId="0" applyFont="1" applyBorder="1"/>
    <xf numFmtId="0" fontId="0" fillId="7" borderId="2" xfId="0" applyFill="1" applyBorder="1" applyAlignment="1">
      <alignment horizontal="center"/>
    </xf>
    <xf numFmtId="49" fontId="0" fillId="7" borderId="2" xfId="0" applyNumberFormat="1" applyFill="1" applyBorder="1" applyAlignment="1">
      <alignment horizontal="center"/>
    </xf>
    <xf numFmtId="0" fontId="0" fillId="7" borderId="2" xfId="0" applyFill="1" applyBorder="1"/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/>
    <xf numFmtId="1" fontId="0" fillId="0" borderId="0" xfId="1" applyNumberFormat="1" applyFont="1" applyAlignment="1">
      <alignment horizontal="center"/>
    </xf>
    <xf numFmtId="0" fontId="10" fillId="0" borderId="0" xfId="0" applyFont="1"/>
    <xf numFmtId="1" fontId="10" fillId="0" borderId="0" xfId="1" applyNumberFormat="1" applyFont="1" applyAlignment="1">
      <alignment horizontal="center"/>
    </xf>
    <xf numFmtId="0" fontId="12" fillId="10" borderId="0" xfId="0" applyFont="1" applyFill="1" applyAlignment="1">
      <alignment horizontal="left"/>
    </xf>
  </cellXfs>
  <cellStyles count="2">
    <cellStyle name="Milliers" xfId="1" builtinId="3"/>
    <cellStyle name="Normal" xfId="0" builtinId="0"/>
  </cellStyles>
  <dxfs count="7"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59987182226020086"/>
        </patternFill>
      </fill>
    </dxf>
    <dxf>
      <fill>
        <patternFill>
          <bgColor theme="0" tint="-0.249977111117893"/>
        </patternFill>
      </fill>
    </dxf>
    <dxf>
      <fill>
        <patternFill>
          <bgColor theme="5" tint="0.59987182226020086"/>
        </patternFill>
      </fill>
    </dxf>
    <dxf>
      <fill>
        <patternFill>
          <bgColor theme="6" tint="0.3998840296639912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E0F0FF"/>
      <rgbColor rgb="FF660066"/>
      <rgbColor rgb="FFFF8080"/>
      <rgbColor rgb="FF0066CC"/>
      <rgbColor rgb="FFF3E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E8"/>
      <rgbColor rgb="FFE8F5E0"/>
      <rgbColor rgb="FFF0F0F0"/>
      <rgbColor rgb="FF8EB4E3"/>
      <rgbColor rgb="FFFF99CC"/>
      <rgbColor rgb="FFCC99FF"/>
      <rgbColor rgb="FFE6B9B8"/>
      <rgbColor rgb="FF3366FF"/>
      <rgbColor rgb="FF33CCCC"/>
      <rgbColor rgb="FF99CC00"/>
      <rgbColor rgb="FFFFCC00"/>
      <rgbColor rgb="FFD4AF37"/>
      <rgbColor rgb="FFFF6600"/>
      <rgbColor rgb="FF666699"/>
      <rgbColor rgb="FFC3D69B"/>
      <rgbColor rgb="FF003366"/>
      <rgbColor rgb="FF339966"/>
      <rgbColor rgb="FF003300"/>
      <rgbColor rgb="FF1A1A2E"/>
      <rgbColor rgb="FF993300"/>
      <rgbColor rgb="FF993366"/>
      <rgbColor rgb="FF4A4A4A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tabSelected="1" zoomScale="115" zoomScaleNormal="115" workbookViewId="0">
      <pane ySplit="1" topLeftCell="A2" activePane="bottomLeft" state="frozen"/>
      <selection pane="bottomLeft" sqref="A1:H1"/>
    </sheetView>
  </sheetViews>
  <sheetFormatPr defaultColWidth="9.14453125" defaultRowHeight="15" x14ac:dyDescent="0.2"/>
  <cols>
    <col min="1" max="1" width="9.4140625" customWidth="1"/>
    <col min="2" max="3" width="11.97265625" customWidth="1"/>
    <col min="4" max="4" width="7.93359375" customWidth="1"/>
    <col min="5" max="5" width="22.05859375" customWidth="1"/>
    <col min="6" max="6" width="9.953125" customWidth="1"/>
    <col min="7" max="7" width="64.97265625" hidden="1" customWidth="1"/>
    <col min="8" max="8" width="22.05859375" customWidth="1"/>
    <col min="9" max="9" width="5.24609375" customWidth="1"/>
  </cols>
  <sheetData>
    <row r="1" spans="1:12" ht="30" customHeight="1" x14ac:dyDescent="0.2">
      <c r="A1" s="2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>
        <f>COUNTIF($C$2:$C$75,"=Eau")</f>
        <v>24</v>
      </c>
      <c r="J1" s="6">
        <f>COUNTIF($C$2:$C$75,"=Feu")</f>
        <v>24</v>
      </c>
      <c r="K1" s="7">
        <f>COUNTIF($C$2:$C$75,"=Terre")</f>
        <v>24</v>
      </c>
      <c r="L1" s="8">
        <f>COUNTIF($C$2:$C$75,"=Poussière")</f>
        <v>2</v>
      </c>
    </row>
    <row r="2" spans="1:12" x14ac:dyDescent="0.2">
      <c r="A2" s="10" t="s">
        <v>8</v>
      </c>
      <c r="B2" s="9">
        <v>0</v>
      </c>
      <c r="C2" s="11" t="s">
        <v>9</v>
      </c>
      <c r="D2" s="9">
        <v>2</v>
      </c>
      <c r="E2" s="9" t="s">
        <v>10</v>
      </c>
      <c r="F2" s="12" t="s">
        <v>11</v>
      </c>
      <c r="G2" s="13" t="s">
        <v>12</v>
      </c>
      <c r="H2" s="14" t="s">
        <v>13</v>
      </c>
    </row>
    <row r="3" spans="1:12" x14ac:dyDescent="0.2">
      <c r="A3" s="10" t="s">
        <v>14</v>
      </c>
      <c r="B3" s="9">
        <v>0</v>
      </c>
      <c r="C3" s="11" t="s">
        <v>15</v>
      </c>
      <c r="D3" s="9">
        <v>3</v>
      </c>
      <c r="E3" s="9" t="s">
        <v>16</v>
      </c>
      <c r="F3" s="12" t="s">
        <v>11</v>
      </c>
      <c r="G3" s="13" t="s">
        <v>12</v>
      </c>
      <c r="H3" s="14" t="s">
        <v>17</v>
      </c>
    </row>
    <row r="4" spans="1:12" x14ac:dyDescent="0.2">
      <c r="A4" s="10" t="s">
        <v>19</v>
      </c>
      <c r="B4" s="9">
        <v>0</v>
      </c>
      <c r="C4" s="11" t="s">
        <v>15</v>
      </c>
      <c r="D4" s="9">
        <v>4</v>
      </c>
      <c r="E4" s="9" t="s">
        <v>16</v>
      </c>
      <c r="F4" s="12" t="s">
        <v>11</v>
      </c>
      <c r="G4" s="13" t="s">
        <v>12</v>
      </c>
      <c r="H4" s="14" t="s">
        <v>20</v>
      </c>
    </row>
    <row r="5" spans="1:12" x14ac:dyDescent="0.2">
      <c r="A5" s="10" t="s">
        <v>21</v>
      </c>
      <c r="B5" s="9">
        <v>0</v>
      </c>
      <c r="C5" s="11" t="s">
        <v>15</v>
      </c>
      <c r="D5" s="9">
        <v>5</v>
      </c>
      <c r="E5" s="9" t="s">
        <v>16</v>
      </c>
      <c r="F5" s="12" t="s">
        <v>11</v>
      </c>
      <c r="G5" s="13" t="s">
        <v>12</v>
      </c>
      <c r="H5" s="16" t="s">
        <v>22</v>
      </c>
    </row>
    <row r="6" spans="1:12" x14ac:dyDescent="0.2">
      <c r="A6" s="10" t="s">
        <v>23</v>
      </c>
      <c r="B6" s="9">
        <v>0</v>
      </c>
      <c r="C6" s="17" t="s">
        <v>24</v>
      </c>
      <c r="D6" s="9">
        <v>3</v>
      </c>
      <c r="E6" s="9" t="s">
        <v>25</v>
      </c>
      <c r="F6" s="12" t="s">
        <v>11</v>
      </c>
      <c r="G6" s="13" t="s">
        <v>12</v>
      </c>
      <c r="H6" s="14" t="s">
        <v>26</v>
      </c>
    </row>
    <row r="7" spans="1:12" x14ac:dyDescent="0.2">
      <c r="A7" s="10" t="s">
        <v>27</v>
      </c>
      <c r="B7" s="9">
        <v>0</v>
      </c>
      <c r="C7" s="17" t="s">
        <v>24</v>
      </c>
      <c r="D7" s="9">
        <v>4</v>
      </c>
      <c r="E7" s="9" t="s">
        <v>25</v>
      </c>
      <c r="F7" s="12" t="s">
        <v>11</v>
      </c>
      <c r="G7" s="13" t="s">
        <v>12</v>
      </c>
      <c r="H7" s="14" t="s">
        <v>28</v>
      </c>
    </row>
    <row r="8" spans="1:12" x14ac:dyDescent="0.2">
      <c r="A8" s="10" t="s">
        <v>29</v>
      </c>
      <c r="B8" s="9">
        <v>0</v>
      </c>
      <c r="C8" s="17" t="s">
        <v>24</v>
      </c>
      <c r="D8" s="9">
        <v>5</v>
      </c>
      <c r="E8" s="9" t="s">
        <v>25</v>
      </c>
      <c r="F8" s="12" t="s">
        <v>11</v>
      </c>
      <c r="G8" s="13" t="s">
        <v>12</v>
      </c>
      <c r="H8" s="14" t="s">
        <v>30</v>
      </c>
    </row>
    <row r="9" spans="1:12" x14ac:dyDescent="0.2">
      <c r="A9" s="10" t="s">
        <v>31</v>
      </c>
      <c r="B9" s="9">
        <v>0</v>
      </c>
      <c r="C9" s="18" t="s">
        <v>32</v>
      </c>
      <c r="D9" s="9">
        <v>3</v>
      </c>
      <c r="E9" s="9" t="s">
        <v>33</v>
      </c>
      <c r="F9" s="12" t="s">
        <v>11</v>
      </c>
      <c r="G9" s="13" t="s">
        <v>12</v>
      </c>
      <c r="H9" s="14" t="s">
        <v>34</v>
      </c>
    </row>
    <row r="10" spans="1:12" x14ac:dyDescent="0.2">
      <c r="A10" s="10" t="s">
        <v>35</v>
      </c>
      <c r="B10" s="9">
        <v>0</v>
      </c>
      <c r="C10" s="18" t="s">
        <v>32</v>
      </c>
      <c r="D10" s="9">
        <v>4</v>
      </c>
      <c r="E10" s="9" t="s">
        <v>33</v>
      </c>
      <c r="F10" s="12" t="s">
        <v>11</v>
      </c>
      <c r="G10" s="13" t="s">
        <v>12</v>
      </c>
      <c r="H10" s="15" t="s">
        <v>36</v>
      </c>
    </row>
    <row r="11" spans="1:12" x14ac:dyDescent="0.2">
      <c r="A11" s="10" t="s">
        <v>37</v>
      </c>
      <c r="B11" s="9">
        <v>0</v>
      </c>
      <c r="C11" s="18" t="s">
        <v>32</v>
      </c>
      <c r="D11" s="9">
        <v>5</v>
      </c>
      <c r="E11" s="9" t="s">
        <v>33</v>
      </c>
      <c r="F11" s="12" t="s">
        <v>11</v>
      </c>
      <c r="G11" s="13" t="s">
        <v>12</v>
      </c>
      <c r="H11" s="15" t="s">
        <v>38</v>
      </c>
    </row>
    <row r="12" spans="1:12" x14ac:dyDescent="0.2">
      <c r="A12" s="10" t="s">
        <v>39</v>
      </c>
      <c r="B12" s="9">
        <v>1</v>
      </c>
      <c r="C12" s="11" t="s">
        <v>15</v>
      </c>
      <c r="D12" s="9">
        <v>4</v>
      </c>
      <c r="E12" s="9" t="s">
        <v>40</v>
      </c>
      <c r="F12" s="9" t="s">
        <v>41</v>
      </c>
      <c r="G12" s="13" t="s">
        <v>42</v>
      </c>
      <c r="H12" s="14" t="s">
        <v>43</v>
      </c>
    </row>
    <row r="13" spans="1:12" x14ac:dyDescent="0.2">
      <c r="A13" s="10" t="s">
        <v>44</v>
      </c>
      <c r="B13" s="19">
        <v>1</v>
      </c>
      <c r="C13" s="18" t="s">
        <v>32</v>
      </c>
      <c r="D13" s="19">
        <v>5</v>
      </c>
      <c r="E13" s="19" t="s">
        <v>45</v>
      </c>
      <c r="F13" s="19" t="s">
        <v>41</v>
      </c>
      <c r="G13" s="20" t="s">
        <v>46</v>
      </c>
      <c r="H13" s="16" t="s">
        <v>47</v>
      </c>
    </row>
    <row r="14" spans="1:12" x14ac:dyDescent="0.2">
      <c r="A14" s="10" t="s">
        <v>48</v>
      </c>
      <c r="B14" s="12">
        <v>1</v>
      </c>
      <c r="C14" s="17" t="s">
        <v>24</v>
      </c>
      <c r="D14" s="12">
        <v>3</v>
      </c>
      <c r="E14" s="12" t="s">
        <v>49</v>
      </c>
      <c r="F14" s="12" t="s">
        <v>41</v>
      </c>
      <c r="G14" s="21" t="s">
        <v>50</v>
      </c>
      <c r="H14" s="14" t="s">
        <v>51</v>
      </c>
    </row>
    <row r="15" spans="1:12" x14ac:dyDescent="0.2">
      <c r="A15" s="10" t="s">
        <v>52</v>
      </c>
      <c r="B15" s="12">
        <v>1</v>
      </c>
      <c r="C15" s="18" t="s">
        <v>24</v>
      </c>
      <c r="D15" s="12">
        <v>6</v>
      </c>
      <c r="E15" s="12" t="s">
        <v>53</v>
      </c>
      <c r="F15" s="12" t="s">
        <v>41</v>
      </c>
      <c r="G15" s="21" t="s">
        <v>54</v>
      </c>
      <c r="H15" s="16" t="s">
        <v>55</v>
      </c>
    </row>
    <row r="16" spans="1:12" x14ac:dyDescent="0.2">
      <c r="A16" s="10" t="s">
        <v>56</v>
      </c>
      <c r="B16" s="12">
        <v>1</v>
      </c>
      <c r="C16" s="17" t="s">
        <v>24</v>
      </c>
      <c r="D16" s="12">
        <v>4</v>
      </c>
      <c r="E16" s="12" t="s">
        <v>57</v>
      </c>
      <c r="F16" s="12" t="s">
        <v>41</v>
      </c>
      <c r="G16" s="21" t="s">
        <v>58</v>
      </c>
      <c r="H16" s="14" t="s">
        <v>59</v>
      </c>
    </row>
    <row r="17" spans="1:8" ht="24" customHeight="1" x14ac:dyDescent="0.2">
      <c r="A17" s="10" t="s">
        <v>60</v>
      </c>
      <c r="B17" s="22">
        <v>1</v>
      </c>
      <c r="C17" s="23" t="s">
        <v>32</v>
      </c>
      <c r="D17" s="22">
        <v>7</v>
      </c>
      <c r="E17" s="22" t="s">
        <v>61</v>
      </c>
      <c r="F17" s="22" t="s">
        <v>41</v>
      </c>
      <c r="G17" s="24" t="s">
        <v>62</v>
      </c>
      <c r="H17" s="14" t="s">
        <v>63</v>
      </c>
    </row>
    <row r="18" spans="1:8" ht="22.5" customHeight="1" x14ac:dyDescent="0.2">
      <c r="A18" s="10" t="s">
        <v>64</v>
      </c>
      <c r="B18" s="12">
        <v>1</v>
      </c>
      <c r="C18" s="11" t="s">
        <v>15</v>
      </c>
      <c r="D18" s="12">
        <v>4</v>
      </c>
      <c r="E18" s="12" t="s">
        <v>65</v>
      </c>
      <c r="F18" s="12" t="s">
        <v>41</v>
      </c>
      <c r="G18" s="21" t="s">
        <v>66</v>
      </c>
      <c r="H18" s="14" t="s">
        <v>67</v>
      </c>
    </row>
    <row r="19" spans="1:8" x14ac:dyDescent="0.2">
      <c r="A19" s="10" t="s">
        <v>68</v>
      </c>
      <c r="B19" s="9">
        <v>1</v>
      </c>
      <c r="C19" s="11" t="s">
        <v>15</v>
      </c>
      <c r="D19" s="9">
        <v>7</v>
      </c>
      <c r="E19" s="9" t="s">
        <v>69</v>
      </c>
      <c r="F19" s="9" t="s">
        <v>41</v>
      </c>
      <c r="G19" s="13" t="s">
        <v>70</v>
      </c>
      <c r="H19" s="16" t="s">
        <v>71</v>
      </c>
    </row>
    <row r="20" spans="1:8" x14ac:dyDescent="0.2">
      <c r="A20" s="10" t="s">
        <v>72</v>
      </c>
      <c r="B20" s="19">
        <v>1</v>
      </c>
      <c r="C20" s="18" t="s">
        <v>32</v>
      </c>
      <c r="D20" s="19">
        <v>4</v>
      </c>
      <c r="E20" s="19" t="s">
        <v>73</v>
      </c>
      <c r="F20" s="19" t="s">
        <v>41</v>
      </c>
      <c r="G20" s="20" t="s">
        <v>74</v>
      </c>
      <c r="H20" s="16" t="s">
        <v>75</v>
      </c>
    </row>
    <row r="21" spans="1:8" x14ac:dyDescent="0.2">
      <c r="A21" s="10" t="s">
        <v>76</v>
      </c>
      <c r="B21" s="9">
        <v>1</v>
      </c>
      <c r="C21" s="23" t="s">
        <v>32</v>
      </c>
      <c r="D21" s="9">
        <v>8</v>
      </c>
      <c r="E21" s="9" t="s">
        <v>77</v>
      </c>
      <c r="F21" s="9" t="s">
        <v>41</v>
      </c>
      <c r="G21" s="13" t="s">
        <v>78</v>
      </c>
      <c r="H21" s="14" t="s">
        <v>79</v>
      </c>
    </row>
    <row r="22" spans="1:8" x14ac:dyDescent="0.2">
      <c r="A22" s="10" t="s">
        <v>80</v>
      </c>
      <c r="B22" s="9">
        <v>1</v>
      </c>
      <c r="C22" s="11" t="s">
        <v>15</v>
      </c>
      <c r="D22" s="9">
        <v>4</v>
      </c>
      <c r="E22" s="9" t="s">
        <v>81</v>
      </c>
      <c r="F22" s="9" t="s">
        <v>41</v>
      </c>
      <c r="G22" s="13" t="s">
        <v>82</v>
      </c>
      <c r="H22" s="14" t="s">
        <v>83</v>
      </c>
    </row>
    <row r="23" spans="1:8" x14ac:dyDescent="0.2">
      <c r="A23" s="10" t="s">
        <v>84</v>
      </c>
      <c r="B23" s="19">
        <v>1</v>
      </c>
      <c r="C23" s="17" t="s">
        <v>24</v>
      </c>
      <c r="D23" s="19">
        <v>4</v>
      </c>
      <c r="E23" s="19" t="s">
        <v>85</v>
      </c>
      <c r="F23" s="19" t="s">
        <v>41</v>
      </c>
      <c r="G23" s="20" t="s">
        <v>86</v>
      </c>
      <c r="H23" s="14" t="s">
        <v>87</v>
      </c>
    </row>
    <row r="24" spans="1:8" x14ac:dyDescent="0.2">
      <c r="A24" s="10" t="s">
        <v>88</v>
      </c>
      <c r="B24" s="22">
        <v>1</v>
      </c>
      <c r="C24" s="23" t="s">
        <v>32</v>
      </c>
      <c r="D24" s="22">
        <v>4</v>
      </c>
      <c r="E24" s="22" t="s">
        <v>89</v>
      </c>
      <c r="F24" s="22" t="s">
        <v>90</v>
      </c>
      <c r="G24" s="24" t="s">
        <v>91</v>
      </c>
      <c r="H24" s="14" t="s">
        <v>92</v>
      </c>
    </row>
    <row r="25" spans="1:8" x14ac:dyDescent="0.2">
      <c r="A25" s="10" t="s">
        <v>93</v>
      </c>
      <c r="B25" s="12">
        <v>1</v>
      </c>
      <c r="C25" s="17" t="s">
        <v>24</v>
      </c>
      <c r="D25" s="12">
        <v>5</v>
      </c>
      <c r="E25" s="12" t="s">
        <v>94</v>
      </c>
      <c r="F25" s="12" t="s">
        <v>41</v>
      </c>
      <c r="G25" s="21" t="s">
        <v>95</v>
      </c>
      <c r="H25" s="14" t="s">
        <v>96</v>
      </c>
    </row>
    <row r="26" spans="1:8" x14ac:dyDescent="0.2">
      <c r="A26" s="10" t="s">
        <v>97</v>
      </c>
      <c r="B26" s="9">
        <v>1</v>
      </c>
      <c r="C26" s="11" t="s">
        <v>15</v>
      </c>
      <c r="D26" s="9">
        <v>5</v>
      </c>
      <c r="E26" s="9" t="s">
        <v>98</v>
      </c>
      <c r="F26" s="9" t="s">
        <v>41</v>
      </c>
      <c r="G26" s="13" t="s">
        <v>99</v>
      </c>
      <c r="H26" s="14" t="s">
        <v>100</v>
      </c>
    </row>
    <row r="27" spans="1:8" x14ac:dyDescent="0.2">
      <c r="A27" s="10" t="s">
        <v>101</v>
      </c>
      <c r="B27" s="22">
        <v>1</v>
      </c>
      <c r="C27" s="23" t="s">
        <v>32</v>
      </c>
      <c r="D27" s="22">
        <v>6</v>
      </c>
      <c r="E27" s="22" t="s">
        <v>102</v>
      </c>
      <c r="F27" s="22" t="s">
        <v>41</v>
      </c>
      <c r="G27" s="24" t="s">
        <v>103</v>
      </c>
      <c r="H27" s="14" t="s">
        <v>104</v>
      </c>
    </row>
    <row r="28" spans="1:8" x14ac:dyDescent="0.2">
      <c r="A28" s="10" t="s">
        <v>105</v>
      </c>
      <c r="B28" s="22">
        <v>1</v>
      </c>
      <c r="C28" s="23" t="s">
        <v>32</v>
      </c>
      <c r="D28" s="22">
        <v>5</v>
      </c>
      <c r="E28" s="22" t="s">
        <v>106</v>
      </c>
      <c r="F28" s="22" t="s">
        <v>41</v>
      </c>
      <c r="G28" s="24" t="s">
        <v>107</v>
      </c>
      <c r="H28" s="14" t="s">
        <v>108</v>
      </c>
    </row>
    <row r="29" spans="1:8" ht="24" customHeight="1" x14ac:dyDescent="0.2">
      <c r="A29" s="10" t="s">
        <v>109</v>
      </c>
      <c r="B29" s="22">
        <v>1</v>
      </c>
      <c r="C29" s="23" t="s">
        <v>32</v>
      </c>
      <c r="D29" s="22">
        <v>8</v>
      </c>
      <c r="E29" s="22" t="s">
        <v>110</v>
      </c>
      <c r="F29" s="22" t="s">
        <v>41</v>
      </c>
      <c r="G29" s="24" t="s">
        <v>111</v>
      </c>
      <c r="H29" s="14" t="s">
        <v>112</v>
      </c>
    </row>
    <row r="30" spans="1:8" x14ac:dyDescent="0.2">
      <c r="A30" s="10" t="s">
        <v>113</v>
      </c>
      <c r="B30" s="9">
        <v>1</v>
      </c>
      <c r="C30" s="11" t="s">
        <v>15</v>
      </c>
      <c r="D30" s="9">
        <v>4</v>
      </c>
      <c r="E30" s="9" t="s">
        <v>114</v>
      </c>
      <c r="F30" s="9" t="s">
        <v>41</v>
      </c>
      <c r="G30" s="13" t="s">
        <v>115</v>
      </c>
      <c r="H30" s="14" t="s">
        <v>116</v>
      </c>
    </row>
    <row r="31" spans="1:8" x14ac:dyDescent="0.2">
      <c r="A31" s="10" t="s">
        <v>117</v>
      </c>
      <c r="B31" s="12">
        <v>1</v>
      </c>
      <c r="C31" s="17" t="s">
        <v>24</v>
      </c>
      <c r="D31" s="12">
        <v>4</v>
      </c>
      <c r="E31" s="12" t="s">
        <v>118</v>
      </c>
      <c r="F31" s="12" t="s">
        <v>41</v>
      </c>
      <c r="G31" s="21" t="s">
        <v>119</v>
      </c>
      <c r="H31" s="14" t="s">
        <v>120</v>
      </c>
    </row>
    <row r="32" spans="1:8" x14ac:dyDescent="0.2">
      <c r="A32" s="10" t="s">
        <v>121</v>
      </c>
      <c r="B32" s="9">
        <v>2</v>
      </c>
      <c r="C32" s="11" t="s">
        <v>15</v>
      </c>
      <c r="D32" s="9">
        <v>9</v>
      </c>
      <c r="E32" s="9" t="s">
        <v>122</v>
      </c>
      <c r="F32" s="9" t="s">
        <v>41</v>
      </c>
      <c r="G32" s="13" t="s">
        <v>123</v>
      </c>
      <c r="H32" s="14" t="s">
        <v>124</v>
      </c>
    </row>
    <row r="33" spans="1:8" x14ac:dyDescent="0.2">
      <c r="A33" s="10" t="s">
        <v>125</v>
      </c>
      <c r="B33" s="19">
        <v>2</v>
      </c>
      <c r="C33" s="18" t="s">
        <v>24</v>
      </c>
      <c r="D33" s="19">
        <v>5</v>
      </c>
      <c r="E33" s="19" t="s">
        <v>126</v>
      </c>
      <c r="F33" s="19" t="s">
        <v>41</v>
      </c>
      <c r="G33" s="20" t="s">
        <v>127</v>
      </c>
      <c r="H33" s="16" t="s">
        <v>128</v>
      </c>
    </row>
    <row r="34" spans="1:8" ht="24" customHeight="1" x14ac:dyDescent="0.2">
      <c r="A34" s="10" t="s">
        <v>129</v>
      </c>
      <c r="B34" s="9">
        <v>2</v>
      </c>
      <c r="C34" s="11" t="s">
        <v>15</v>
      </c>
      <c r="D34" s="9">
        <v>9</v>
      </c>
      <c r="E34" s="9" t="s">
        <v>130</v>
      </c>
      <c r="F34" s="9" t="s">
        <v>41</v>
      </c>
      <c r="G34" s="13" t="s">
        <v>131</v>
      </c>
      <c r="H34" s="14" t="s">
        <v>132</v>
      </c>
    </row>
    <row r="35" spans="1:8" ht="24" customHeight="1" x14ac:dyDescent="0.2">
      <c r="A35" s="10" t="s">
        <v>133</v>
      </c>
      <c r="B35" s="12">
        <v>2</v>
      </c>
      <c r="C35" s="17" t="s">
        <v>24</v>
      </c>
      <c r="D35" s="12">
        <v>3</v>
      </c>
      <c r="E35" s="12" t="s">
        <v>134</v>
      </c>
      <c r="F35" s="12" t="s">
        <v>11</v>
      </c>
      <c r="G35" s="21" t="s">
        <v>135</v>
      </c>
      <c r="H35" s="14" t="s">
        <v>136</v>
      </c>
    </row>
    <row r="36" spans="1:8" x14ac:dyDescent="0.2">
      <c r="A36" s="10" t="s">
        <v>137</v>
      </c>
      <c r="B36" s="22">
        <v>2</v>
      </c>
      <c r="C36" s="23" t="s">
        <v>32</v>
      </c>
      <c r="D36" s="22">
        <v>9</v>
      </c>
      <c r="E36" s="22" t="s">
        <v>138</v>
      </c>
      <c r="F36" s="22" t="s">
        <v>41</v>
      </c>
      <c r="G36" s="24" t="s">
        <v>139</v>
      </c>
      <c r="H36" s="14" t="s">
        <v>140</v>
      </c>
    </row>
    <row r="37" spans="1:8" ht="22.5" customHeight="1" x14ac:dyDescent="0.2">
      <c r="A37" s="10" t="s">
        <v>141</v>
      </c>
      <c r="B37" s="19">
        <v>2</v>
      </c>
      <c r="C37" s="18" t="s">
        <v>15</v>
      </c>
      <c r="D37" s="19">
        <v>7</v>
      </c>
      <c r="E37" s="19" t="s">
        <v>142</v>
      </c>
      <c r="F37" s="19" t="s">
        <v>41</v>
      </c>
      <c r="G37" s="20" t="s">
        <v>143</v>
      </c>
      <c r="H37" s="16" t="s">
        <v>144</v>
      </c>
    </row>
    <row r="38" spans="1:8" x14ac:dyDescent="0.2">
      <c r="A38" s="10" t="s">
        <v>145</v>
      </c>
      <c r="B38" s="22">
        <v>2</v>
      </c>
      <c r="C38" s="23" t="s">
        <v>32</v>
      </c>
      <c r="D38" s="22">
        <v>7</v>
      </c>
      <c r="E38" s="22" t="s">
        <v>146</v>
      </c>
      <c r="F38" s="22" t="s">
        <v>41</v>
      </c>
      <c r="G38" s="24" t="s">
        <v>147</v>
      </c>
      <c r="H38" s="14" t="s">
        <v>148</v>
      </c>
    </row>
    <row r="39" spans="1:8" x14ac:dyDescent="0.2">
      <c r="A39" s="10" t="s">
        <v>149</v>
      </c>
      <c r="B39" s="9">
        <v>2</v>
      </c>
      <c r="C39" s="11" t="s">
        <v>15</v>
      </c>
      <c r="D39" s="9">
        <v>8</v>
      </c>
      <c r="E39" s="9" t="s">
        <v>150</v>
      </c>
      <c r="F39" s="9" t="s">
        <v>41</v>
      </c>
      <c r="G39" s="13" t="s">
        <v>151</v>
      </c>
      <c r="H39" s="14" t="s">
        <v>152</v>
      </c>
    </row>
    <row r="40" spans="1:8" ht="24" customHeight="1" x14ac:dyDescent="0.2">
      <c r="A40" s="10" t="s">
        <v>153</v>
      </c>
      <c r="B40" s="9">
        <v>2</v>
      </c>
      <c r="C40" s="11" t="s">
        <v>15</v>
      </c>
      <c r="D40" s="9">
        <v>9</v>
      </c>
      <c r="E40" s="9" t="s">
        <v>154</v>
      </c>
      <c r="F40" s="9" t="s">
        <v>41</v>
      </c>
      <c r="G40" s="13" t="s">
        <v>155</v>
      </c>
      <c r="H40" s="14" t="s">
        <v>156</v>
      </c>
    </row>
    <row r="41" spans="1:8" x14ac:dyDescent="0.2">
      <c r="A41" s="10" t="s">
        <v>157</v>
      </c>
      <c r="B41" s="22">
        <v>2</v>
      </c>
      <c r="C41" s="23" t="s">
        <v>32</v>
      </c>
      <c r="D41" s="22">
        <v>9</v>
      </c>
      <c r="E41" s="22" t="s">
        <v>158</v>
      </c>
      <c r="F41" s="22" t="s">
        <v>41</v>
      </c>
      <c r="G41" s="24" t="s">
        <v>159</v>
      </c>
      <c r="H41" s="14" t="s">
        <v>160</v>
      </c>
    </row>
    <row r="42" spans="1:8" x14ac:dyDescent="0.2">
      <c r="A42" s="10" t="s">
        <v>161</v>
      </c>
      <c r="B42" s="12">
        <v>2</v>
      </c>
      <c r="C42" s="17" t="s">
        <v>24</v>
      </c>
      <c r="D42" s="12">
        <v>8</v>
      </c>
      <c r="E42" s="12" t="s">
        <v>162</v>
      </c>
      <c r="F42" s="12" t="s">
        <v>41</v>
      </c>
      <c r="G42" s="21" t="s">
        <v>163</v>
      </c>
      <c r="H42" s="14" t="s">
        <v>164</v>
      </c>
    </row>
    <row r="43" spans="1:8" x14ac:dyDescent="0.2">
      <c r="A43" s="10" t="s">
        <v>165</v>
      </c>
      <c r="B43" s="12">
        <v>2</v>
      </c>
      <c r="C43" s="17" t="s">
        <v>24</v>
      </c>
      <c r="D43" s="12">
        <v>10</v>
      </c>
      <c r="E43" s="12" t="s">
        <v>166</v>
      </c>
      <c r="F43" s="12" t="s">
        <v>41</v>
      </c>
      <c r="G43" s="21" t="s">
        <v>167</v>
      </c>
      <c r="H43" s="14" t="s">
        <v>168</v>
      </c>
    </row>
    <row r="44" spans="1:8" x14ac:dyDescent="0.2">
      <c r="A44" s="10" t="s">
        <v>169</v>
      </c>
      <c r="B44" s="12">
        <v>2</v>
      </c>
      <c r="C44" s="17" t="s">
        <v>24</v>
      </c>
      <c r="D44" s="12">
        <v>9</v>
      </c>
      <c r="E44" s="12" t="s">
        <v>170</v>
      </c>
      <c r="F44" s="12" t="s">
        <v>41</v>
      </c>
      <c r="G44" s="21" t="s">
        <v>171</v>
      </c>
      <c r="H44" s="14" t="s">
        <v>172</v>
      </c>
    </row>
    <row r="45" spans="1:8" x14ac:dyDescent="0.2">
      <c r="A45" s="10" t="s">
        <v>173</v>
      </c>
      <c r="B45" s="9">
        <v>2</v>
      </c>
      <c r="C45" s="11" t="s">
        <v>15</v>
      </c>
      <c r="D45" s="9">
        <v>8</v>
      </c>
      <c r="E45" s="9" t="s">
        <v>174</v>
      </c>
      <c r="F45" s="9" t="s">
        <v>41</v>
      </c>
      <c r="G45" s="13" t="s">
        <v>175</v>
      </c>
      <c r="H45" s="14" t="s">
        <v>176</v>
      </c>
    </row>
    <row r="46" spans="1:8" x14ac:dyDescent="0.2">
      <c r="A46" s="10" t="s">
        <v>177</v>
      </c>
      <c r="B46" s="22">
        <v>4</v>
      </c>
      <c r="C46" s="23" t="s">
        <v>32</v>
      </c>
      <c r="D46" s="22">
        <v>3</v>
      </c>
      <c r="E46" s="22" t="s">
        <v>178</v>
      </c>
      <c r="F46" s="22" t="s">
        <v>41</v>
      </c>
      <c r="G46" s="24" t="s">
        <v>179</v>
      </c>
      <c r="H46" s="14" t="s">
        <v>180</v>
      </c>
    </row>
    <row r="47" spans="1:8" ht="24" customHeight="1" x14ac:dyDescent="0.2">
      <c r="A47" s="10" t="s">
        <v>181</v>
      </c>
      <c r="B47" s="9">
        <v>4</v>
      </c>
      <c r="C47" s="11" t="s">
        <v>15</v>
      </c>
      <c r="D47" s="9">
        <v>5</v>
      </c>
      <c r="E47" s="9" t="s">
        <v>182</v>
      </c>
      <c r="F47" s="9" t="s">
        <v>183</v>
      </c>
      <c r="G47" s="13" t="s">
        <v>184</v>
      </c>
      <c r="H47" s="14" t="s">
        <v>185</v>
      </c>
    </row>
    <row r="48" spans="1:8" ht="22.5" customHeight="1" x14ac:dyDescent="0.2">
      <c r="A48" s="10" t="s">
        <v>186</v>
      </c>
      <c r="B48" s="9">
        <v>4</v>
      </c>
      <c r="C48" s="11" t="s">
        <v>15</v>
      </c>
      <c r="D48" s="9">
        <v>10</v>
      </c>
      <c r="E48" s="9" t="s">
        <v>187</v>
      </c>
      <c r="F48" s="9" t="s">
        <v>183</v>
      </c>
      <c r="G48" s="13" t="s">
        <v>188</v>
      </c>
      <c r="H48" s="14" t="s">
        <v>189</v>
      </c>
    </row>
    <row r="49" spans="1:8" x14ac:dyDescent="0.2">
      <c r="A49" s="10" t="s">
        <v>190</v>
      </c>
      <c r="B49" s="12">
        <v>4</v>
      </c>
      <c r="C49" s="17" t="s">
        <v>24</v>
      </c>
      <c r="D49" s="12">
        <v>17</v>
      </c>
      <c r="E49" s="12" t="s">
        <v>191</v>
      </c>
      <c r="F49" s="12" t="s">
        <v>183</v>
      </c>
      <c r="G49" s="21" t="s">
        <v>192</v>
      </c>
      <c r="H49" s="14" t="s">
        <v>193</v>
      </c>
    </row>
    <row r="50" spans="1:8" ht="24" customHeight="1" x14ac:dyDescent="0.2">
      <c r="A50" s="10" t="s">
        <v>194</v>
      </c>
      <c r="B50" s="22">
        <v>4</v>
      </c>
      <c r="C50" s="23" t="s">
        <v>32</v>
      </c>
      <c r="D50" s="22">
        <v>15</v>
      </c>
      <c r="E50" s="22" t="s">
        <v>195</v>
      </c>
      <c r="F50" s="22" t="s">
        <v>183</v>
      </c>
      <c r="G50" s="24" t="s">
        <v>196</v>
      </c>
      <c r="H50" s="14" t="s">
        <v>197</v>
      </c>
    </row>
    <row r="51" spans="1:8" x14ac:dyDescent="0.2">
      <c r="A51" s="10" t="s">
        <v>198</v>
      </c>
      <c r="B51" s="12">
        <v>4</v>
      </c>
      <c r="C51" s="17" t="s">
        <v>24</v>
      </c>
      <c r="D51" s="12">
        <v>11</v>
      </c>
      <c r="E51" s="12" t="s">
        <v>199</v>
      </c>
      <c r="F51" s="12" t="s">
        <v>183</v>
      </c>
      <c r="G51" s="21" t="s">
        <v>200</v>
      </c>
      <c r="H51" s="14" t="s">
        <v>201</v>
      </c>
    </row>
    <row r="52" spans="1:8" ht="25.5" customHeight="1" x14ac:dyDescent="0.2">
      <c r="A52" s="10" t="s">
        <v>202</v>
      </c>
      <c r="B52" s="22">
        <v>4</v>
      </c>
      <c r="C52" s="23" t="s">
        <v>32</v>
      </c>
      <c r="D52" s="22">
        <v>10</v>
      </c>
      <c r="E52" s="22" t="s">
        <v>203</v>
      </c>
      <c r="F52" s="22" t="s">
        <v>183</v>
      </c>
      <c r="G52" s="24" t="s">
        <v>95</v>
      </c>
      <c r="H52" s="14" t="s">
        <v>204</v>
      </c>
    </row>
    <row r="53" spans="1:8" x14ac:dyDescent="0.2">
      <c r="A53" s="10" t="s">
        <v>205</v>
      </c>
      <c r="B53" s="12">
        <v>4</v>
      </c>
      <c r="C53" s="17" t="s">
        <v>24</v>
      </c>
      <c r="D53" s="12">
        <v>11</v>
      </c>
      <c r="E53" s="12" t="s">
        <v>206</v>
      </c>
      <c r="F53" s="12" t="s">
        <v>183</v>
      </c>
      <c r="G53" s="21" t="s">
        <v>207</v>
      </c>
      <c r="H53" s="14" t="s">
        <v>208</v>
      </c>
    </row>
    <row r="54" spans="1:8" x14ac:dyDescent="0.2">
      <c r="A54" s="10" t="s">
        <v>209</v>
      </c>
      <c r="B54" s="9">
        <v>4</v>
      </c>
      <c r="C54" s="11" t="s">
        <v>15</v>
      </c>
      <c r="D54" s="9">
        <v>13</v>
      </c>
      <c r="E54" s="9" t="s">
        <v>210</v>
      </c>
      <c r="F54" s="9" t="s">
        <v>183</v>
      </c>
      <c r="G54" s="13" t="s">
        <v>211</v>
      </c>
      <c r="H54" s="40" t="s">
        <v>581</v>
      </c>
    </row>
    <row r="55" spans="1:8" ht="22.5" customHeight="1" x14ac:dyDescent="0.2">
      <c r="A55" s="10" t="s">
        <v>213</v>
      </c>
      <c r="B55" s="22">
        <v>3</v>
      </c>
      <c r="C55" s="23" t="s">
        <v>32</v>
      </c>
      <c r="D55" s="22">
        <v>5</v>
      </c>
      <c r="E55" s="22" t="s">
        <v>214</v>
      </c>
      <c r="F55" s="22" t="s">
        <v>41</v>
      </c>
      <c r="G55" s="24" t="s">
        <v>215</v>
      </c>
      <c r="H55" s="14" t="s">
        <v>216</v>
      </c>
    </row>
    <row r="56" spans="1:8" ht="24" customHeight="1" x14ac:dyDescent="0.2">
      <c r="A56" s="10" t="s">
        <v>217</v>
      </c>
      <c r="B56" s="12">
        <v>3</v>
      </c>
      <c r="C56" s="17" t="s">
        <v>24</v>
      </c>
      <c r="D56" s="12">
        <v>5</v>
      </c>
      <c r="E56" s="12" t="s">
        <v>218</v>
      </c>
      <c r="F56" s="12" t="s">
        <v>11</v>
      </c>
      <c r="G56" s="21" t="s">
        <v>219</v>
      </c>
      <c r="H56" s="14" t="s">
        <v>220</v>
      </c>
    </row>
    <row r="57" spans="1:8" x14ac:dyDescent="0.2">
      <c r="A57" s="25" t="s">
        <v>221</v>
      </c>
      <c r="B57" s="19">
        <v>1</v>
      </c>
      <c r="C57" s="18" t="s">
        <v>24</v>
      </c>
      <c r="D57" s="19">
        <v>5</v>
      </c>
      <c r="E57" s="19" t="s">
        <v>222</v>
      </c>
      <c r="F57" s="19" t="s">
        <v>90</v>
      </c>
      <c r="G57" s="20"/>
      <c r="H57" s="14" t="s">
        <v>565</v>
      </c>
    </row>
    <row r="58" spans="1:8" x14ac:dyDescent="0.2">
      <c r="A58" s="25" t="s">
        <v>223</v>
      </c>
      <c r="B58" s="19">
        <v>2</v>
      </c>
      <c r="C58" s="18" t="s">
        <v>15</v>
      </c>
      <c r="D58" s="19">
        <v>6</v>
      </c>
      <c r="E58" s="19" t="s">
        <v>224</v>
      </c>
      <c r="F58" s="19" t="s">
        <v>41</v>
      </c>
      <c r="G58" s="20"/>
      <c r="H58" s="14" t="s">
        <v>18</v>
      </c>
    </row>
    <row r="59" spans="1:8" x14ac:dyDescent="0.2">
      <c r="A59" s="25" t="s">
        <v>225</v>
      </c>
      <c r="B59" s="19">
        <v>2</v>
      </c>
      <c r="C59" s="18" t="s">
        <v>32</v>
      </c>
      <c r="D59" s="19">
        <v>9</v>
      </c>
      <c r="E59" s="19" t="s">
        <v>226</v>
      </c>
      <c r="F59" s="19" t="s">
        <v>41</v>
      </c>
      <c r="G59" s="20"/>
      <c r="H59" s="14" t="s">
        <v>580</v>
      </c>
    </row>
    <row r="60" spans="1:8" x14ac:dyDescent="0.2">
      <c r="A60" s="25" t="s">
        <v>227</v>
      </c>
      <c r="B60" s="19">
        <v>3</v>
      </c>
      <c r="C60" s="18" t="s">
        <v>32</v>
      </c>
      <c r="D60" s="19">
        <v>7</v>
      </c>
      <c r="E60" s="19" t="s">
        <v>228</v>
      </c>
      <c r="F60" s="19" t="s">
        <v>90</v>
      </c>
      <c r="G60" s="20"/>
      <c r="H60" s="14" t="s">
        <v>579</v>
      </c>
    </row>
    <row r="61" spans="1:8" x14ac:dyDescent="0.2">
      <c r="A61" s="25" t="s">
        <v>229</v>
      </c>
      <c r="B61" s="19">
        <v>3</v>
      </c>
      <c r="C61" s="18" t="s">
        <v>24</v>
      </c>
      <c r="D61" s="19">
        <v>5</v>
      </c>
      <c r="E61" s="19" t="s">
        <v>230</v>
      </c>
      <c r="F61" s="19" t="s">
        <v>90</v>
      </c>
      <c r="G61" s="20"/>
      <c r="H61" s="14" t="s">
        <v>566</v>
      </c>
    </row>
    <row r="62" spans="1:8" x14ac:dyDescent="0.2">
      <c r="A62" s="25" t="s">
        <v>231</v>
      </c>
      <c r="B62" s="19">
        <v>3</v>
      </c>
      <c r="C62" s="18" t="s">
        <v>24</v>
      </c>
      <c r="D62" s="19">
        <v>5</v>
      </c>
      <c r="E62" s="19" t="s">
        <v>232</v>
      </c>
      <c r="F62" s="19" t="s">
        <v>90</v>
      </c>
      <c r="G62" s="20"/>
      <c r="H62" s="14" t="s">
        <v>568</v>
      </c>
    </row>
    <row r="63" spans="1:8" x14ac:dyDescent="0.2">
      <c r="A63" s="25" t="s">
        <v>233</v>
      </c>
      <c r="B63" s="19">
        <v>3</v>
      </c>
      <c r="C63" s="18" t="s">
        <v>32</v>
      </c>
      <c r="D63" s="19">
        <v>5</v>
      </c>
      <c r="E63" s="19" t="s">
        <v>234</v>
      </c>
      <c r="F63" s="19" t="s">
        <v>90</v>
      </c>
      <c r="G63" s="20"/>
      <c r="H63" s="14" t="s">
        <v>578</v>
      </c>
    </row>
    <row r="64" spans="1:8" x14ac:dyDescent="0.2">
      <c r="A64" s="25" t="s">
        <v>235</v>
      </c>
      <c r="B64" s="19">
        <v>3</v>
      </c>
      <c r="C64" s="18" t="s">
        <v>15</v>
      </c>
      <c r="D64" s="19">
        <v>7</v>
      </c>
      <c r="E64" s="19" t="s">
        <v>236</v>
      </c>
      <c r="F64" s="19" t="s">
        <v>90</v>
      </c>
      <c r="G64" s="20"/>
      <c r="H64" s="14" t="s">
        <v>212</v>
      </c>
    </row>
    <row r="65" spans="1:8" x14ac:dyDescent="0.2">
      <c r="A65" s="25" t="s">
        <v>237</v>
      </c>
      <c r="B65" s="19">
        <v>3</v>
      </c>
      <c r="C65" s="18" t="s">
        <v>24</v>
      </c>
      <c r="D65" s="19">
        <v>4</v>
      </c>
      <c r="E65" s="19" t="s">
        <v>238</v>
      </c>
      <c r="F65" s="19" t="s">
        <v>90</v>
      </c>
      <c r="G65" s="20"/>
      <c r="H65" s="40" t="s">
        <v>582</v>
      </c>
    </row>
    <row r="66" spans="1:8" x14ac:dyDescent="0.2">
      <c r="A66" s="25" t="s">
        <v>239</v>
      </c>
      <c r="B66" s="19">
        <v>3</v>
      </c>
      <c r="C66" s="18" t="s">
        <v>24</v>
      </c>
      <c r="D66" s="19">
        <v>5</v>
      </c>
      <c r="E66" s="19" t="s">
        <v>240</v>
      </c>
      <c r="F66" s="19" t="s">
        <v>90</v>
      </c>
      <c r="G66" s="20"/>
      <c r="H66" s="14" t="s">
        <v>567</v>
      </c>
    </row>
    <row r="67" spans="1:8" x14ac:dyDescent="0.2">
      <c r="A67" s="25" t="s">
        <v>241</v>
      </c>
      <c r="B67" s="19">
        <v>3</v>
      </c>
      <c r="C67" s="18" t="s">
        <v>32</v>
      </c>
      <c r="D67" s="19">
        <v>6</v>
      </c>
      <c r="E67" s="19" t="s">
        <v>242</v>
      </c>
      <c r="F67" s="19" t="s">
        <v>90</v>
      </c>
      <c r="G67" s="20"/>
      <c r="H67" s="14" t="s">
        <v>577</v>
      </c>
    </row>
    <row r="68" spans="1:8" ht="24.75" x14ac:dyDescent="0.2">
      <c r="A68" s="25" t="s">
        <v>243</v>
      </c>
      <c r="B68" s="19">
        <v>3</v>
      </c>
      <c r="C68" s="18" t="s">
        <v>32</v>
      </c>
      <c r="D68" s="19">
        <v>0</v>
      </c>
      <c r="E68" s="19" t="s">
        <v>244</v>
      </c>
      <c r="F68" s="19" t="s">
        <v>245</v>
      </c>
      <c r="G68" s="20"/>
      <c r="H68" s="14" t="s">
        <v>576</v>
      </c>
    </row>
    <row r="69" spans="1:8" x14ac:dyDescent="0.2">
      <c r="A69" s="25" t="s">
        <v>246</v>
      </c>
      <c r="B69" s="19">
        <v>3</v>
      </c>
      <c r="C69" s="18" t="s">
        <v>9</v>
      </c>
      <c r="D69" s="19">
        <v>13</v>
      </c>
      <c r="E69" s="19" t="s">
        <v>247</v>
      </c>
      <c r="F69" s="19" t="s">
        <v>11</v>
      </c>
      <c r="G69" s="20"/>
      <c r="H69" s="14" t="s">
        <v>570</v>
      </c>
    </row>
    <row r="70" spans="1:8" x14ac:dyDescent="0.2">
      <c r="A70" s="25" t="s">
        <v>248</v>
      </c>
      <c r="B70" s="19">
        <v>4</v>
      </c>
      <c r="C70" s="18" t="s">
        <v>15</v>
      </c>
      <c r="D70" s="19">
        <v>4</v>
      </c>
      <c r="E70" s="19" t="s">
        <v>249</v>
      </c>
      <c r="F70" s="19" t="s">
        <v>90</v>
      </c>
      <c r="G70" s="20"/>
      <c r="H70" s="14" t="s">
        <v>571</v>
      </c>
    </row>
    <row r="71" spans="1:8" x14ac:dyDescent="0.2">
      <c r="A71" s="25" t="s">
        <v>250</v>
      </c>
      <c r="B71" s="19">
        <v>4</v>
      </c>
      <c r="C71" s="18" t="s">
        <v>24</v>
      </c>
      <c r="D71" s="19">
        <v>3</v>
      </c>
      <c r="E71" s="19" t="s">
        <v>251</v>
      </c>
      <c r="F71" s="19" t="s">
        <v>90</v>
      </c>
      <c r="G71" s="20"/>
      <c r="H71" s="14" t="s">
        <v>569</v>
      </c>
    </row>
    <row r="72" spans="1:8" x14ac:dyDescent="0.2">
      <c r="A72" s="25" t="s">
        <v>252</v>
      </c>
      <c r="B72" s="19">
        <v>4</v>
      </c>
      <c r="C72" s="18" t="s">
        <v>32</v>
      </c>
      <c r="D72" s="19">
        <v>3</v>
      </c>
      <c r="E72" s="19" t="s">
        <v>253</v>
      </c>
      <c r="F72" s="19" t="s">
        <v>90</v>
      </c>
      <c r="G72" s="20"/>
      <c r="H72" s="14" t="s">
        <v>575</v>
      </c>
    </row>
    <row r="73" spans="1:8" ht="24.75" x14ac:dyDescent="0.2">
      <c r="A73" s="25" t="s">
        <v>254</v>
      </c>
      <c r="B73" s="19">
        <v>4</v>
      </c>
      <c r="C73" s="18" t="s">
        <v>15</v>
      </c>
      <c r="D73" s="19">
        <v>0</v>
      </c>
      <c r="E73" s="19" t="s">
        <v>255</v>
      </c>
      <c r="F73" s="19" t="s">
        <v>245</v>
      </c>
      <c r="G73" s="20"/>
      <c r="H73" s="14" t="s">
        <v>572</v>
      </c>
    </row>
    <row r="74" spans="1:8" x14ac:dyDescent="0.2">
      <c r="A74" s="25" t="s">
        <v>256</v>
      </c>
      <c r="B74" s="19">
        <v>4</v>
      </c>
      <c r="C74" s="18" t="s">
        <v>15</v>
      </c>
      <c r="D74" s="19">
        <v>5</v>
      </c>
      <c r="E74" s="19" t="s">
        <v>257</v>
      </c>
      <c r="F74" s="19" t="s">
        <v>90</v>
      </c>
      <c r="G74" s="20"/>
      <c r="H74" s="14" t="s">
        <v>573</v>
      </c>
    </row>
    <row r="75" spans="1:8" x14ac:dyDescent="0.2">
      <c r="A75" s="25" t="s">
        <v>258</v>
      </c>
      <c r="B75" s="19">
        <v>4</v>
      </c>
      <c r="C75" s="18" t="s">
        <v>15</v>
      </c>
      <c r="D75" s="19">
        <v>3</v>
      </c>
      <c r="E75" s="19" t="s">
        <v>259</v>
      </c>
      <c r="F75" s="19" t="s">
        <v>90</v>
      </c>
      <c r="G75" s="20"/>
      <c r="H75" s="14" t="s">
        <v>574</v>
      </c>
    </row>
  </sheetData>
  <sortState xmlns:xlrd2="http://schemas.microsoft.com/office/spreadsheetml/2017/richdata2" ref="A2:M76">
    <sortCondition ref="A1:A76"/>
  </sortState>
  <conditionalFormatting sqref="A1:H999">
    <cfRule type="expression" dxfId="6" priority="3">
      <formula>IF($C1="Terre",1,0)</formula>
    </cfRule>
    <cfRule type="expression" dxfId="5" priority="4">
      <formula>IF($C1="Feu",1,0)</formula>
    </cfRule>
    <cfRule type="expression" dxfId="4" priority="5">
      <formula>IF($C1="Poussière",1,0)</formula>
    </cfRule>
    <cfRule type="expression" dxfId="3" priority="6">
      <formula>IF($C1="Eau",1,0)</formula>
    </cfRule>
  </conditionalFormatting>
  <conditionalFormatting sqref="H1:H1048576">
    <cfRule type="duplicateValues" dxfId="2" priority="1"/>
  </conditionalFormatting>
  <conditionalFormatting sqref="I1:I1048576">
    <cfRule type="duplicateValues" dxfId="1" priority="44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9"/>
  <sheetViews>
    <sheetView topLeftCell="A10" zoomScale="115" zoomScaleNormal="115" workbookViewId="0">
      <selection activeCell="A69" sqref="A69"/>
    </sheetView>
  </sheetViews>
  <sheetFormatPr defaultColWidth="9.14453125" defaultRowHeight="15" x14ac:dyDescent="0.2"/>
  <cols>
    <col min="1" max="1" width="11.1640625" style="26" customWidth="1"/>
    <col min="2" max="2" width="19.90625" style="26" customWidth="1"/>
    <col min="3" max="3" width="17.08203125" style="26" customWidth="1"/>
    <col min="4" max="4" width="9.14453125" style="26"/>
    <col min="5" max="5" width="131.16015625" customWidth="1"/>
  </cols>
  <sheetData>
    <row r="1" spans="1:5" x14ac:dyDescent="0.2">
      <c r="A1" s="27" t="s">
        <v>260</v>
      </c>
      <c r="B1" s="28" t="s">
        <v>4</v>
      </c>
      <c r="C1" s="28" t="s">
        <v>5</v>
      </c>
      <c r="D1" s="29" t="s">
        <v>261</v>
      </c>
      <c r="E1" s="30" t="s">
        <v>262</v>
      </c>
    </row>
    <row r="2" spans="1:5" x14ac:dyDescent="0.2">
      <c r="A2" s="31">
        <v>0</v>
      </c>
      <c r="B2" s="31" t="s">
        <v>10</v>
      </c>
      <c r="C2" s="31" t="s">
        <v>263</v>
      </c>
      <c r="D2" s="32" t="s">
        <v>264</v>
      </c>
      <c r="E2" s="33" t="s">
        <v>265</v>
      </c>
    </row>
    <row r="3" spans="1:5" x14ac:dyDescent="0.2">
      <c r="A3" s="31">
        <v>0</v>
      </c>
      <c r="B3" s="31" t="s">
        <v>16</v>
      </c>
      <c r="C3" s="31" t="s">
        <v>263</v>
      </c>
      <c r="D3" s="32" t="s">
        <v>264</v>
      </c>
      <c r="E3" s="33" t="s">
        <v>265</v>
      </c>
    </row>
    <row r="4" spans="1:5" x14ac:dyDescent="0.2">
      <c r="A4" s="31">
        <v>0</v>
      </c>
      <c r="B4" s="31" t="s">
        <v>25</v>
      </c>
      <c r="C4" s="31" t="s">
        <v>263</v>
      </c>
      <c r="D4" s="32" t="s">
        <v>264</v>
      </c>
      <c r="E4" s="33" t="s">
        <v>265</v>
      </c>
    </row>
    <row r="5" spans="1:5" x14ac:dyDescent="0.2">
      <c r="A5" s="31">
        <v>0</v>
      </c>
      <c r="B5" s="31" t="s">
        <v>33</v>
      </c>
      <c r="C5" s="31" t="s">
        <v>263</v>
      </c>
      <c r="D5" s="32" t="s">
        <v>264</v>
      </c>
      <c r="E5" s="33" t="s">
        <v>265</v>
      </c>
    </row>
    <row r="6" spans="1:5" x14ac:dyDescent="0.2">
      <c r="A6" s="31">
        <v>1</v>
      </c>
      <c r="B6" s="31" t="s">
        <v>40</v>
      </c>
      <c r="C6" s="31" t="s">
        <v>266</v>
      </c>
      <c r="D6" s="32" t="s">
        <v>267</v>
      </c>
      <c r="E6" s="33" t="s">
        <v>268</v>
      </c>
    </row>
    <row r="7" spans="1:5" x14ac:dyDescent="0.2">
      <c r="A7" s="31">
        <v>1</v>
      </c>
      <c r="B7" s="31" t="s">
        <v>45</v>
      </c>
      <c r="C7" s="31" t="s">
        <v>266</v>
      </c>
      <c r="D7" s="32" t="s">
        <v>269</v>
      </c>
      <c r="E7" s="33" t="s">
        <v>270</v>
      </c>
    </row>
    <row r="8" spans="1:5" x14ac:dyDescent="0.2">
      <c r="A8" s="31">
        <v>1</v>
      </c>
      <c r="B8" s="31" t="s">
        <v>49</v>
      </c>
      <c r="C8" s="31" t="s">
        <v>266</v>
      </c>
      <c r="D8" s="32" t="s">
        <v>264</v>
      </c>
      <c r="E8" s="33" t="s">
        <v>271</v>
      </c>
    </row>
    <row r="9" spans="1:5" x14ac:dyDescent="0.2">
      <c r="A9" s="31">
        <v>1</v>
      </c>
      <c r="B9" s="31" t="s">
        <v>53</v>
      </c>
      <c r="C9" s="31" t="s">
        <v>266</v>
      </c>
      <c r="D9" s="32" t="s">
        <v>272</v>
      </c>
      <c r="E9" s="33" t="s">
        <v>273</v>
      </c>
    </row>
    <row r="10" spans="1:5" x14ac:dyDescent="0.2">
      <c r="A10" s="31">
        <v>1</v>
      </c>
      <c r="B10" s="31" t="s">
        <v>57</v>
      </c>
      <c r="C10" s="31" t="s">
        <v>266</v>
      </c>
      <c r="D10" s="32" t="s">
        <v>267</v>
      </c>
      <c r="E10" s="33" t="s">
        <v>274</v>
      </c>
    </row>
    <row r="11" spans="1:5" x14ac:dyDescent="0.2">
      <c r="A11" s="31">
        <v>1</v>
      </c>
      <c r="B11" s="31" t="s">
        <v>61</v>
      </c>
      <c r="C11" s="31" t="s">
        <v>266</v>
      </c>
      <c r="D11" s="32" t="s">
        <v>275</v>
      </c>
      <c r="E11" s="33" t="s">
        <v>276</v>
      </c>
    </row>
    <row r="12" spans="1:5" x14ac:dyDescent="0.2">
      <c r="A12" s="31">
        <v>1</v>
      </c>
      <c r="B12" s="31" t="s">
        <v>65</v>
      </c>
      <c r="C12" s="31" t="s">
        <v>90</v>
      </c>
      <c r="D12" s="32" t="s">
        <v>267</v>
      </c>
      <c r="E12" s="33" t="s">
        <v>277</v>
      </c>
    </row>
    <row r="13" spans="1:5" x14ac:dyDescent="0.2">
      <c r="A13" s="34">
        <v>1</v>
      </c>
      <c r="B13" s="34" t="s">
        <v>222</v>
      </c>
      <c r="C13" s="34" t="s">
        <v>90</v>
      </c>
      <c r="D13" s="35" t="s">
        <v>269</v>
      </c>
      <c r="E13" s="36" t="s">
        <v>278</v>
      </c>
    </row>
    <row r="14" spans="1:5" x14ac:dyDescent="0.2">
      <c r="A14" s="31">
        <v>1</v>
      </c>
      <c r="B14" s="31" t="s">
        <v>69</v>
      </c>
      <c r="C14" s="31" t="s">
        <v>266</v>
      </c>
      <c r="D14" s="32" t="s">
        <v>275</v>
      </c>
      <c r="E14" s="33" t="s">
        <v>279</v>
      </c>
    </row>
    <row r="15" spans="1:5" x14ac:dyDescent="0.2">
      <c r="A15" s="31">
        <v>1</v>
      </c>
      <c r="B15" s="31" t="s">
        <v>73</v>
      </c>
      <c r="C15" s="31" t="s">
        <v>266</v>
      </c>
      <c r="D15" s="32" t="s">
        <v>267</v>
      </c>
      <c r="E15" s="33" t="s">
        <v>280</v>
      </c>
    </row>
    <row r="16" spans="1:5" x14ac:dyDescent="0.2">
      <c r="A16" s="31">
        <v>1</v>
      </c>
      <c r="B16" s="31" t="s">
        <v>77</v>
      </c>
      <c r="C16" s="31" t="s">
        <v>266</v>
      </c>
      <c r="D16" s="32" t="s">
        <v>281</v>
      </c>
      <c r="E16" s="33" t="s">
        <v>282</v>
      </c>
    </row>
    <row r="17" spans="1:5" x14ac:dyDescent="0.2">
      <c r="A17" s="31">
        <v>1</v>
      </c>
      <c r="B17" s="31" t="s">
        <v>81</v>
      </c>
      <c r="C17" s="31" t="s">
        <v>266</v>
      </c>
      <c r="D17" s="32" t="s">
        <v>267</v>
      </c>
      <c r="E17" s="33" t="s">
        <v>283</v>
      </c>
    </row>
    <row r="18" spans="1:5" x14ac:dyDescent="0.2">
      <c r="A18" s="31">
        <v>1</v>
      </c>
      <c r="B18" s="31" t="s">
        <v>85</v>
      </c>
      <c r="C18" s="31" t="s">
        <v>266</v>
      </c>
      <c r="D18" s="32" t="s">
        <v>267</v>
      </c>
      <c r="E18" s="33" t="s">
        <v>284</v>
      </c>
    </row>
    <row r="19" spans="1:5" x14ac:dyDescent="0.2">
      <c r="A19" s="31">
        <v>1</v>
      </c>
      <c r="B19" s="31" t="s">
        <v>89</v>
      </c>
      <c r="C19" s="31" t="s">
        <v>90</v>
      </c>
      <c r="D19" s="32" t="s">
        <v>267</v>
      </c>
      <c r="E19" s="33" t="s">
        <v>285</v>
      </c>
    </row>
    <row r="20" spans="1:5" x14ac:dyDescent="0.2">
      <c r="A20" s="31">
        <v>1</v>
      </c>
      <c r="B20" s="31" t="s">
        <v>94</v>
      </c>
      <c r="C20" s="31" t="s">
        <v>266</v>
      </c>
      <c r="D20" s="32" t="s">
        <v>269</v>
      </c>
      <c r="E20" s="33" t="s">
        <v>286</v>
      </c>
    </row>
    <row r="21" spans="1:5" x14ac:dyDescent="0.2">
      <c r="A21" s="31">
        <v>1</v>
      </c>
      <c r="B21" s="31" t="s">
        <v>98</v>
      </c>
      <c r="C21" s="31" t="s">
        <v>266</v>
      </c>
      <c r="D21" s="32" t="s">
        <v>269</v>
      </c>
      <c r="E21" s="33" t="s">
        <v>287</v>
      </c>
    </row>
    <row r="22" spans="1:5" x14ac:dyDescent="0.2">
      <c r="A22" s="31">
        <v>1</v>
      </c>
      <c r="B22" s="31" t="s">
        <v>102</v>
      </c>
      <c r="C22" s="31" t="s">
        <v>266</v>
      </c>
      <c r="D22" s="32" t="s">
        <v>272</v>
      </c>
      <c r="E22" s="33" t="s">
        <v>288</v>
      </c>
    </row>
    <row r="23" spans="1:5" x14ac:dyDescent="0.2">
      <c r="A23" s="31">
        <v>1</v>
      </c>
      <c r="B23" s="31" t="s">
        <v>106</v>
      </c>
      <c r="C23" s="31" t="s">
        <v>266</v>
      </c>
      <c r="D23" s="32" t="s">
        <v>269</v>
      </c>
      <c r="E23" s="33" t="s">
        <v>289</v>
      </c>
    </row>
    <row r="24" spans="1:5" x14ac:dyDescent="0.2">
      <c r="A24" s="31">
        <v>1</v>
      </c>
      <c r="B24" s="31" t="s">
        <v>110</v>
      </c>
      <c r="C24" s="31" t="s">
        <v>266</v>
      </c>
      <c r="D24" s="32" t="s">
        <v>281</v>
      </c>
      <c r="E24" s="33" t="s">
        <v>290</v>
      </c>
    </row>
    <row r="25" spans="1:5" x14ac:dyDescent="0.2">
      <c r="A25" s="31">
        <v>1</v>
      </c>
      <c r="B25" s="31" t="s">
        <v>114</v>
      </c>
      <c r="C25" s="31" t="s">
        <v>266</v>
      </c>
      <c r="D25" s="32" t="s">
        <v>267</v>
      </c>
      <c r="E25" s="33" t="s">
        <v>291</v>
      </c>
    </row>
    <row r="26" spans="1:5" x14ac:dyDescent="0.2">
      <c r="A26" s="31">
        <v>1</v>
      </c>
      <c r="B26" s="31" t="s">
        <v>118</v>
      </c>
      <c r="C26" s="31" t="s">
        <v>266</v>
      </c>
      <c r="D26" s="32" t="s">
        <v>267</v>
      </c>
      <c r="E26" s="33" t="s">
        <v>292</v>
      </c>
    </row>
    <row r="27" spans="1:5" x14ac:dyDescent="0.2">
      <c r="A27" s="31">
        <v>2</v>
      </c>
      <c r="B27" s="31" t="s">
        <v>122</v>
      </c>
      <c r="C27" s="31" t="s">
        <v>266</v>
      </c>
      <c r="D27" s="32" t="s">
        <v>293</v>
      </c>
      <c r="E27" s="33" t="s">
        <v>294</v>
      </c>
    </row>
    <row r="28" spans="1:5" x14ac:dyDescent="0.2">
      <c r="A28" s="31">
        <v>2</v>
      </c>
      <c r="B28" s="31" t="s">
        <v>126</v>
      </c>
      <c r="C28" s="31" t="s">
        <v>266</v>
      </c>
      <c r="D28" s="32" t="s">
        <v>269</v>
      </c>
      <c r="E28" s="33" t="s">
        <v>295</v>
      </c>
    </row>
    <row r="29" spans="1:5" x14ac:dyDescent="0.2">
      <c r="A29" s="31">
        <v>2</v>
      </c>
      <c r="B29" s="31" t="s">
        <v>130</v>
      </c>
      <c r="C29" s="31" t="s">
        <v>266</v>
      </c>
      <c r="D29" s="32" t="s">
        <v>293</v>
      </c>
      <c r="E29" s="33" t="s">
        <v>296</v>
      </c>
    </row>
    <row r="30" spans="1:5" x14ac:dyDescent="0.2">
      <c r="A30" s="31">
        <v>2</v>
      </c>
      <c r="B30" s="31" t="s">
        <v>134</v>
      </c>
      <c r="C30" s="31" t="s">
        <v>263</v>
      </c>
      <c r="D30" s="32" t="s">
        <v>264</v>
      </c>
      <c r="E30" s="33" t="s">
        <v>297</v>
      </c>
    </row>
    <row r="31" spans="1:5" x14ac:dyDescent="0.2">
      <c r="A31" s="31">
        <v>2</v>
      </c>
      <c r="B31" s="31" t="s">
        <v>138</v>
      </c>
      <c r="C31" s="31" t="s">
        <v>266</v>
      </c>
      <c r="D31" s="32" t="s">
        <v>293</v>
      </c>
      <c r="E31" s="33" t="s">
        <v>298</v>
      </c>
    </row>
    <row r="32" spans="1:5" x14ac:dyDescent="0.2">
      <c r="A32" s="31">
        <v>2</v>
      </c>
      <c r="B32" s="31" t="s">
        <v>142</v>
      </c>
      <c r="C32" s="31" t="s">
        <v>266</v>
      </c>
      <c r="D32" s="32" t="s">
        <v>275</v>
      </c>
      <c r="E32" s="33" t="s">
        <v>299</v>
      </c>
    </row>
    <row r="33" spans="1:5" x14ac:dyDescent="0.2">
      <c r="A33" s="31">
        <v>2</v>
      </c>
      <c r="B33" s="31" t="s">
        <v>146</v>
      </c>
      <c r="C33" s="31" t="s">
        <v>266</v>
      </c>
      <c r="D33" s="32" t="s">
        <v>275</v>
      </c>
      <c r="E33" s="33" t="s">
        <v>300</v>
      </c>
    </row>
    <row r="34" spans="1:5" x14ac:dyDescent="0.2">
      <c r="A34" s="31">
        <v>2</v>
      </c>
      <c r="B34" s="31" t="s">
        <v>150</v>
      </c>
      <c r="C34" s="31" t="s">
        <v>266</v>
      </c>
      <c r="D34" s="32" t="s">
        <v>281</v>
      </c>
      <c r="E34" s="33" t="s">
        <v>301</v>
      </c>
    </row>
    <row r="35" spans="1:5" x14ac:dyDescent="0.2">
      <c r="A35" s="31">
        <v>2</v>
      </c>
      <c r="B35" s="31" t="s">
        <v>154</v>
      </c>
      <c r="C35" s="31" t="s">
        <v>266</v>
      </c>
      <c r="D35" s="32" t="s">
        <v>281</v>
      </c>
      <c r="E35" s="33" t="s">
        <v>302</v>
      </c>
    </row>
    <row r="36" spans="1:5" x14ac:dyDescent="0.2">
      <c r="A36" s="31">
        <v>2</v>
      </c>
      <c r="B36" s="31" t="s">
        <v>158</v>
      </c>
      <c r="C36" s="31" t="s">
        <v>266</v>
      </c>
      <c r="D36" s="32" t="s">
        <v>293</v>
      </c>
      <c r="E36" s="33" t="s">
        <v>303</v>
      </c>
    </row>
    <row r="37" spans="1:5" x14ac:dyDescent="0.2">
      <c r="A37" s="31">
        <v>2</v>
      </c>
      <c r="B37" s="31" t="s">
        <v>162</v>
      </c>
      <c r="C37" s="31" t="s">
        <v>266</v>
      </c>
      <c r="D37" s="32" t="s">
        <v>281</v>
      </c>
      <c r="E37" s="33" t="s">
        <v>304</v>
      </c>
    </row>
    <row r="38" spans="1:5" x14ac:dyDescent="0.2">
      <c r="A38" s="31">
        <v>2</v>
      </c>
      <c r="B38" s="31" t="s">
        <v>166</v>
      </c>
      <c r="C38" s="31" t="s">
        <v>266</v>
      </c>
      <c r="D38" s="32" t="s">
        <v>305</v>
      </c>
      <c r="E38" s="33" t="s">
        <v>306</v>
      </c>
    </row>
    <row r="39" spans="1:5" x14ac:dyDescent="0.2">
      <c r="A39" s="31">
        <v>2</v>
      </c>
      <c r="B39" s="31" t="s">
        <v>170</v>
      </c>
      <c r="C39" s="31" t="s">
        <v>266</v>
      </c>
      <c r="D39" s="32" t="s">
        <v>293</v>
      </c>
      <c r="E39" s="33" t="s">
        <v>307</v>
      </c>
    </row>
    <row r="40" spans="1:5" x14ac:dyDescent="0.2">
      <c r="A40" s="34">
        <v>2</v>
      </c>
      <c r="B40" s="34" t="s">
        <v>224</v>
      </c>
      <c r="C40" s="34" t="s">
        <v>266</v>
      </c>
      <c r="D40" s="35" t="s">
        <v>272</v>
      </c>
      <c r="E40" s="36" t="s">
        <v>308</v>
      </c>
    </row>
    <row r="41" spans="1:5" x14ac:dyDescent="0.2">
      <c r="A41" s="34">
        <v>2</v>
      </c>
      <c r="B41" s="34" t="s">
        <v>226</v>
      </c>
      <c r="C41" s="34" t="s">
        <v>266</v>
      </c>
      <c r="D41" s="35" t="s">
        <v>293</v>
      </c>
      <c r="E41" s="36" t="s">
        <v>309</v>
      </c>
    </row>
    <row r="42" spans="1:5" x14ac:dyDescent="0.2">
      <c r="A42" s="31">
        <v>2</v>
      </c>
      <c r="B42" s="31" t="s">
        <v>174</v>
      </c>
      <c r="C42" s="31" t="s">
        <v>266</v>
      </c>
      <c r="D42" s="32" t="s">
        <v>281</v>
      </c>
      <c r="E42" s="33" t="s">
        <v>310</v>
      </c>
    </row>
    <row r="43" spans="1:5" x14ac:dyDescent="0.2">
      <c r="A43" s="34">
        <v>3</v>
      </c>
      <c r="B43" s="34" t="s">
        <v>228</v>
      </c>
      <c r="C43" s="34" t="s">
        <v>90</v>
      </c>
      <c r="D43" s="35" t="s">
        <v>275</v>
      </c>
      <c r="E43" s="36" t="s">
        <v>311</v>
      </c>
    </row>
    <row r="44" spans="1:5" x14ac:dyDescent="0.2">
      <c r="A44" s="34">
        <v>3</v>
      </c>
      <c r="B44" s="34" t="s">
        <v>230</v>
      </c>
      <c r="C44" s="34" t="s">
        <v>90</v>
      </c>
      <c r="D44" s="35" t="s">
        <v>269</v>
      </c>
      <c r="E44" s="36" t="s">
        <v>312</v>
      </c>
    </row>
    <row r="45" spans="1:5" x14ac:dyDescent="0.2">
      <c r="A45" s="34">
        <v>3</v>
      </c>
      <c r="B45" s="34" t="s">
        <v>214</v>
      </c>
      <c r="C45" s="34" t="s">
        <v>266</v>
      </c>
      <c r="D45" s="35" t="s">
        <v>269</v>
      </c>
      <c r="E45" s="36" t="s">
        <v>313</v>
      </c>
    </row>
    <row r="46" spans="1:5" x14ac:dyDescent="0.2">
      <c r="A46" s="34">
        <v>3</v>
      </c>
      <c r="B46" s="34" t="s">
        <v>232</v>
      </c>
      <c r="C46" s="34" t="s">
        <v>90</v>
      </c>
      <c r="D46" s="35" t="s">
        <v>269</v>
      </c>
      <c r="E46" s="36" t="s">
        <v>314</v>
      </c>
    </row>
    <row r="47" spans="1:5" x14ac:dyDescent="0.2">
      <c r="A47" s="34">
        <v>3</v>
      </c>
      <c r="B47" s="34" t="s">
        <v>234</v>
      </c>
      <c r="C47" s="34" t="s">
        <v>90</v>
      </c>
      <c r="D47" s="35" t="s">
        <v>269</v>
      </c>
      <c r="E47" s="36" t="s">
        <v>315</v>
      </c>
    </row>
    <row r="48" spans="1:5" x14ac:dyDescent="0.2">
      <c r="A48" s="34">
        <v>3</v>
      </c>
      <c r="B48" s="34" t="s">
        <v>236</v>
      </c>
      <c r="C48" s="34" t="s">
        <v>90</v>
      </c>
      <c r="D48" s="35" t="s">
        <v>275</v>
      </c>
      <c r="E48" s="36" t="s">
        <v>284</v>
      </c>
    </row>
    <row r="49" spans="1:5" x14ac:dyDescent="0.2">
      <c r="A49" s="34">
        <v>3</v>
      </c>
      <c r="B49" s="34" t="s">
        <v>238</v>
      </c>
      <c r="C49" s="34" t="s">
        <v>90</v>
      </c>
      <c r="D49" s="35" t="s">
        <v>267</v>
      </c>
      <c r="E49" s="36" t="s">
        <v>274</v>
      </c>
    </row>
    <row r="50" spans="1:5" x14ac:dyDescent="0.2">
      <c r="A50" s="34">
        <v>3</v>
      </c>
      <c r="B50" s="34" t="s">
        <v>240</v>
      </c>
      <c r="C50" s="34" t="s">
        <v>90</v>
      </c>
      <c r="D50" s="35" t="s">
        <v>269</v>
      </c>
      <c r="E50" s="36" t="s">
        <v>292</v>
      </c>
    </row>
    <row r="51" spans="1:5" x14ac:dyDescent="0.2">
      <c r="A51" s="34">
        <v>3</v>
      </c>
      <c r="B51" s="34" t="s">
        <v>218</v>
      </c>
      <c r="C51" s="34" t="s">
        <v>263</v>
      </c>
      <c r="D51" s="35" t="s">
        <v>269</v>
      </c>
      <c r="E51" s="36" t="s">
        <v>316</v>
      </c>
    </row>
    <row r="52" spans="1:5" x14ac:dyDescent="0.2">
      <c r="A52" s="34">
        <v>3</v>
      </c>
      <c r="B52" s="34" t="s">
        <v>242</v>
      </c>
      <c r="C52" s="34" t="s">
        <v>90</v>
      </c>
      <c r="D52" s="35" t="s">
        <v>272</v>
      </c>
      <c r="E52" s="36" t="s">
        <v>317</v>
      </c>
    </row>
    <row r="53" spans="1:5" x14ac:dyDescent="0.2">
      <c r="A53" s="34">
        <v>3</v>
      </c>
      <c r="B53" s="34" t="s">
        <v>244</v>
      </c>
      <c r="C53" s="34" t="s">
        <v>245</v>
      </c>
      <c r="D53" s="35" t="s">
        <v>318</v>
      </c>
      <c r="E53" s="36" t="s">
        <v>319</v>
      </c>
    </row>
    <row r="54" spans="1:5" x14ac:dyDescent="0.2">
      <c r="A54" s="34">
        <v>3</v>
      </c>
      <c r="B54" s="34" t="s">
        <v>247</v>
      </c>
      <c r="C54" s="34" t="s">
        <v>263</v>
      </c>
      <c r="D54" s="35" t="s">
        <v>320</v>
      </c>
      <c r="E54" s="36" t="s">
        <v>321</v>
      </c>
    </row>
    <row r="55" spans="1:5" x14ac:dyDescent="0.2">
      <c r="A55" s="34">
        <v>4</v>
      </c>
      <c r="B55" s="34" t="s">
        <v>178</v>
      </c>
      <c r="C55" s="34" t="s">
        <v>266</v>
      </c>
      <c r="D55" s="35" t="s">
        <v>264</v>
      </c>
      <c r="E55" s="36" t="s">
        <v>322</v>
      </c>
    </row>
    <row r="56" spans="1:5" x14ac:dyDescent="0.2">
      <c r="A56" s="34">
        <v>4</v>
      </c>
      <c r="B56" s="34" t="s">
        <v>182</v>
      </c>
      <c r="C56" s="34" t="s">
        <v>183</v>
      </c>
      <c r="D56" s="35" t="s">
        <v>269</v>
      </c>
      <c r="E56" s="36" t="s">
        <v>323</v>
      </c>
    </row>
    <row r="57" spans="1:5" x14ac:dyDescent="0.2">
      <c r="A57" s="34">
        <v>4</v>
      </c>
      <c r="B57" s="34" t="s">
        <v>187</v>
      </c>
      <c r="C57" s="34" t="s">
        <v>183</v>
      </c>
      <c r="D57" s="35" t="s">
        <v>305</v>
      </c>
      <c r="E57" s="36" t="s">
        <v>324</v>
      </c>
    </row>
    <row r="58" spans="1:5" x14ac:dyDescent="0.2">
      <c r="A58" s="34">
        <v>4</v>
      </c>
      <c r="B58" s="34" t="s">
        <v>191</v>
      </c>
      <c r="C58" s="34" t="s">
        <v>183</v>
      </c>
      <c r="D58" s="35" t="s">
        <v>325</v>
      </c>
      <c r="E58" s="36" t="s">
        <v>326</v>
      </c>
    </row>
    <row r="59" spans="1:5" x14ac:dyDescent="0.2">
      <c r="A59" s="34">
        <v>4</v>
      </c>
      <c r="B59" s="34" t="s">
        <v>195</v>
      </c>
      <c r="C59" s="34" t="s">
        <v>183</v>
      </c>
      <c r="D59" s="35" t="s">
        <v>327</v>
      </c>
      <c r="E59" s="36" t="s">
        <v>328</v>
      </c>
    </row>
    <row r="60" spans="1:5" x14ac:dyDescent="0.2">
      <c r="A60" s="34">
        <v>4</v>
      </c>
      <c r="B60" s="34" t="s">
        <v>199</v>
      </c>
      <c r="C60" s="34" t="s">
        <v>183</v>
      </c>
      <c r="D60" s="35" t="s">
        <v>329</v>
      </c>
      <c r="E60" s="36" t="s">
        <v>330</v>
      </c>
    </row>
    <row r="61" spans="1:5" x14ac:dyDescent="0.2">
      <c r="A61" s="34">
        <v>4</v>
      </c>
      <c r="B61" s="34" t="s">
        <v>203</v>
      </c>
      <c r="C61" s="34" t="s">
        <v>183</v>
      </c>
      <c r="D61" s="35" t="s">
        <v>305</v>
      </c>
      <c r="E61" s="36" t="s">
        <v>331</v>
      </c>
    </row>
    <row r="62" spans="1:5" x14ac:dyDescent="0.2">
      <c r="A62" s="34">
        <v>4</v>
      </c>
      <c r="B62" s="34" t="s">
        <v>206</v>
      </c>
      <c r="C62" s="34" t="s">
        <v>183</v>
      </c>
      <c r="D62" s="35" t="s">
        <v>329</v>
      </c>
      <c r="E62" s="36" t="s">
        <v>332</v>
      </c>
    </row>
    <row r="63" spans="1:5" x14ac:dyDescent="0.2">
      <c r="A63" s="34">
        <v>4</v>
      </c>
      <c r="B63" s="34" t="s">
        <v>210</v>
      </c>
      <c r="C63" s="34" t="s">
        <v>183</v>
      </c>
      <c r="D63" s="35" t="s">
        <v>320</v>
      </c>
      <c r="E63" s="36" t="s">
        <v>333</v>
      </c>
    </row>
    <row r="64" spans="1:5" x14ac:dyDescent="0.2">
      <c r="A64" s="34">
        <v>4</v>
      </c>
      <c r="B64" s="34" t="s">
        <v>249</v>
      </c>
      <c r="C64" s="34" t="s">
        <v>90</v>
      </c>
      <c r="D64" s="35" t="s">
        <v>267</v>
      </c>
      <c r="E64" s="36" t="s">
        <v>334</v>
      </c>
    </row>
    <row r="65" spans="1:5" x14ac:dyDescent="0.2">
      <c r="A65" s="34">
        <v>4</v>
      </c>
      <c r="B65" s="34" t="s">
        <v>251</v>
      </c>
      <c r="C65" s="34" t="s">
        <v>90</v>
      </c>
      <c r="D65" s="35" t="s">
        <v>264</v>
      </c>
      <c r="E65" s="36" t="s">
        <v>335</v>
      </c>
    </row>
    <row r="66" spans="1:5" x14ac:dyDescent="0.2">
      <c r="A66" s="34">
        <v>4</v>
      </c>
      <c r="B66" s="34" t="s">
        <v>253</v>
      </c>
      <c r="C66" s="34" t="s">
        <v>90</v>
      </c>
      <c r="D66" s="35" t="s">
        <v>264</v>
      </c>
      <c r="E66" s="36" t="s">
        <v>336</v>
      </c>
    </row>
    <row r="67" spans="1:5" x14ac:dyDescent="0.2">
      <c r="A67" s="34">
        <v>4</v>
      </c>
      <c r="B67" s="34" t="s">
        <v>255</v>
      </c>
      <c r="C67" s="34" t="s">
        <v>245</v>
      </c>
      <c r="D67" s="35" t="s">
        <v>337</v>
      </c>
      <c r="E67" s="36" t="s">
        <v>338</v>
      </c>
    </row>
    <row r="68" spans="1:5" x14ac:dyDescent="0.2">
      <c r="A68" s="34">
        <v>4</v>
      </c>
      <c r="B68" s="34" t="s">
        <v>257</v>
      </c>
      <c r="C68" s="34" t="s">
        <v>90</v>
      </c>
      <c r="D68" s="35" t="s">
        <v>269</v>
      </c>
      <c r="E68" s="36" t="s">
        <v>339</v>
      </c>
    </row>
    <row r="69" spans="1:5" x14ac:dyDescent="0.2">
      <c r="A69" s="34">
        <v>4</v>
      </c>
      <c r="B69" s="34" t="s">
        <v>259</v>
      </c>
      <c r="C69" s="34" t="s">
        <v>90</v>
      </c>
      <c r="D69" s="35" t="s">
        <v>264</v>
      </c>
      <c r="E69" s="36" t="s">
        <v>340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"/>
  <sheetViews>
    <sheetView topLeftCell="A31" zoomScaleNormal="100" workbookViewId="0">
      <selection activeCell="A58" sqref="A58"/>
    </sheetView>
  </sheetViews>
  <sheetFormatPr defaultColWidth="9.14453125" defaultRowHeight="15" x14ac:dyDescent="0.2"/>
  <cols>
    <col min="1" max="1" width="20.04296875" customWidth="1"/>
    <col min="2" max="2" width="11.02734375" customWidth="1"/>
    <col min="3" max="3" width="23" customWidth="1"/>
    <col min="4" max="4" width="9.01171875" style="37" customWidth="1"/>
    <col min="5" max="5" width="13.98828125" customWidth="1"/>
    <col min="6" max="6" width="23" customWidth="1"/>
    <col min="7" max="7" width="32.95703125" customWidth="1"/>
    <col min="8" max="8" width="46.9453125" customWidth="1"/>
    <col min="9" max="9" width="43.98828125" customWidth="1"/>
  </cols>
  <sheetData>
    <row r="1" spans="1:9" x14ac:dyDescent="0.2">
      <c r="A1" s="38" t="s">
        <v>341</v>
      </c>
      <c r="B1" s="38" t="s">
        <v>342</v>
      </c>
      <c r="C1" s="38" t="s">
        <v>343</v>
      </c>
      <c r="D1" s="39" t="s">
        <v>3</v>
      </c>
      <c r="E1" s="38" t="s">
        <v>344</v>
      </c>
      <c r="F1" s="38" t="s">
        <v>345</v>
      </c>
      <c r="G1" s="38" t="s">
        <v>346</v>
      </c>
      <c r="H1" s="38" t="s">
        <v>347</v>
      </c>
      <c r="I1" s="38" t="s">
        <v>348</v>
      </c>
    </row>
    <row r="2" spans="1:9" x14ac:dyDescent="0.2">
      <c r="A2" t="s">
        <v>349</v>
      </c>
      <c r="C2" t="s">
        <v>40</v>
      </c>
      <c r="D2" s="37">
        <v>6</v>
      </c>
      <c r="E2" t="s">
        <v>350</v>
      </c>
      <c r="F2" t="s">
        <v>351</v>
      </c>
      <c r="G2" t="s">
        <v>352</v>
      </c>
      <c r="H2" t="s">
        <v>353</v>
      </c>
      <c r="I2" t="s">
        <v>354</v>
      </c>
    </row>
    <row r="3" spans="1:9" x14ac:dyDescent="0.2">
      <c r="A3" t="s">
        <v>355</v>
      </c>
      <c r="C3" t="s">
        <v>40</v>
      </c>
      <c r="D3" s="37">
        <v>6</v>
      </c>
      <c r="E3" t="s">
        <v>356</v>
      </c>
    </row>
    <row r="4" spans="1:9" x14ac:dyDescent="0.2">
      <c r="A4" t="s">
        <v>357</v>
      </c>
      <c r="C4" t="s">
        <v>40</v>
      </c>
      <c r="D4" s="37">
        <v>6</v>
      </c>
      <c r="E4" t="s">
        <v>356</v>
      </c>
    </row>
    <row r="5" spans="1:9" x14ac:dyDescent="0.2">
      <c r="A5" t="s">
        <v>358</v>
      </c>
      <c r="B5" t="s">
        <v>359</v>
      </c>
      <c r="C5" t="s">
        <v>360</v>
      </c>
      <c r="D5" s="37">
        <v>5</v>
      </c>
      <c r="E5" t="s">
        <v>350</v>
      </c>
      <c r="F5" t="s">
        <v>351</v>
      </c>
      <c r="G5" t="s">
        <v>361</v>
      </c>
      <c r="H5" t="s">
        <v>362</v>
      </c>
      <c r="I5" t="s">
        <v>363</v>
      </c>
    </row>
    <row r="6" spans="1:9" x14ac:dyDescent="0.2">
      <c r="A6" t="s">
        <v>364</v>
      </c>
      <c r="B6" t="s">
        <v>359</v>
      </c>
      <c r="C6" t="s">
        <v>122</v>
      </c>
      <c r="D6" s="37">
        <v>7</v>
      </c>
      <c r="E6" t="s">
        <v>350</v>
      </c>
      <c r="F6" t="s">
        <v>359</v>
      </c>
      <c r="G6" t="s">
        <v>365</v>
      </c>
      <c r="H6" t="s">
        <v>366</v>
      </c>
      <c r="I6" t="s">
        <v>367</v>
      </c>
    </row>
    <row r="7" spans="1:9" x14ac:dyDescent="0.2">
      <c r="A7" t="s">
        <v>368</v>
      </c>
      <c r="B7" t="s">
        <v>369</v>
      </c>
      <c r="C7" t="s">
        <v>178</v>
      </c>
      <c r="D7" s="37">
        <v>6</v>
      </c>
      <c r="E7" t="s">
        <v>370</v>
      </c>
      <c r="F7" t="s">
        <v>371</v>
      </c>
      <c r="G7" t="s">
        <v>372</v>
      </c>
      <c r="H7" t="s">
        <v>373</v>
      </c>
      <c r="I7" t="s">
        <v>374</v>
      </c>
    </row>
    <row r="8" spans="1:9" x14ac:dyDescent="0.2">
      <c r="A8" t="s">
        <v>375</v>
      </c>
      <c r="C8" t="s">
        <v>130</v>
      </c>
      <c r="D8" s="37">
        <v>7</v>
      </c>
      <c r="E8" t="s">
        <v>350</v>
      </c>
      <c r="F8" t="s">
        <v>351</v>
      </c>
      <c r="G8" t="s">
        <v>376</v>
      </c>
      <c r="H8" t="s">
        <v>377</v>
      </c>
      <c r="I8" t="s">
        <v>378</v>
      </c>
    </row>
    <row r="9" spans="1:9" x14ac:dyDescent="0.2">
      <c r="A9" t="s">
        <v>379</v>
      </c>
      <c r="C9" t="s">
        <v>183</v>
      </c>
      <c r="D9" s="37">
        <v>8</v>
      </c>
      <c r="E9" t="s">
        <v>350</v>
      </c>
      <c r="F9" t="s">
        <v>371</v>
      </c>
      <c r="G9" t="s">
        <v>380</v>
      </c>
      <c r="H9" t="s">
        <v>381</v>
      </c>
      <c r="I9" t="s">
        <v>382</v>
      </c>
    </row>
    <row r="10" spans="1:9" x14ac:dyDescent="0.2">
      <c r="A10" t="s">
        <v>383</v>
      </c>
      <c r="C10" t="s">
        <v>183</v>
      </c>
      <c r="D10" s="37">
        <v>7</v>
      </c>
      <c r="E10" t="s">
        <v>350</v>
      </c>
      <c r="F10" t="s">
        <v>371</v>
      </c>
      <c r="G10" t="s">
        <v>384</v>
      </c>
      <c r="H10" t="s">
        <v>385</v>
      </c>
      <c r="I10" t="s">
        <v>386</v>
      </c>
    </row>
    <row r="11" spans="1:9" x14ac:dyDescent="0.2">
      <c r="A11" t="s">
        <v>387</v>
      </c>
      <c r="C11" t="s">
        <v>388</v>
      </c>
      <c r="D11" s="37">
        <v>8</v>
      </c>
      <c r="E11" t="s">
        <v>389</v>
      </c>
    </row>
    <row r="12" spans="1:9" x14ac:dyDescent="0.2">
      <c r="A12" t="s">
        <v>390</v>
      </c>
      <c r="B12" t="s">
        <v>359</v>
      </c>
      <c r="C12" t="s">
        <v>391</v>
      </c>
      <c r="D12" s="37">
        <v>7</v>
      </c>
      <c r="E12" t="s">
        <v>350</v>
      </c>
      <c r="F12" t="s">
        <v>359</v>
      </c>
      <c r="G12" t="s">
        <v>392</v>
      </c>
      <c r="H12" t="s">
        <v>393</v>
      </c>
      <c r="I12" t="s">
        <v>394</v>
      </c>
    </row>
    <row r="13" spans="1:9" x14ac:dyDescent="0.2">
      <c r="A13" t="s">
        <v>395</v>
      </c>
      <c r="B13" t="s">
        <v>396</v>
      </c>
      <c r="C13" t="s">
        <v>49</v>
      </c>
      <c r="D13" s="37">
        <v>9</v>
      </c>
      <c r="E13" t="s">
        <v>356</v>
      </c>
    </row>
    <row r="14" spans="1:9" x14ac:dyDescent="0.2">
      <c r="A14" t="s">
        <v>397</v>
      </c>
      <c r="B14" t="s">
        <v>396</v>
      </c>
      <c r="C14" t="s">
        <v>49</v>
      </c>
      <c r="D14" s="37">
        <v>8</v>
      </c>
      <c r="E14" t="s">
        <v>356</v>
      </c>
    </row>
    <row r="15" spans="1:9" x14ac:dyDescent="0.2">
      <c r="A15" t="s">
        <v>398</v>
      </c>
      <c r="B15" t="s">
        <v>396</v>
      </c>
      <c r="C15" t="s">
        <v>399</v>
      </c>
      <c r="D15" s="37">
        <v>9</v>
      </c>
      <c r="E15" t="s">
        <v>350</v>
      </c>
      <c r="F15" t="s">
        <v>400</v>
      </c>
      <c r="G15" t="s">
        <v>401</v>
      </c>
      <c r="H15" t="s">
        <v>402</v>
      </c>
      <c r="I15" t="s">
        <v>403</v>
      </c>
    </row>
    <row r="16" spans="1:9" x14ac:dyDescent="0.2">
      <c r="A16" t="s">
        <v>404</v>
      </c>
      <c r="B16" t="s">
        <v>396</v>
      </c>
      <c r="C16" t="s">
        <v>405</v>
      </c>
      <c r="D16" s="37">
        <v>8</v>
      </c>
      <c r="E16" t="s">
        <v>350</v>
      </c>
      <c r="F16" t="s">
        <v>396</v>
      </c>
      <c r="G16" t="s">
        <v>406</v>
      </c>
      <c r="H16" t="s">
        <v>407</v>
      </c>
      <c r="I16" t="s">
        <v>408</v>
      </c>
    </row>
    <row r="17" spans="1:9" x14ac:dyDescent="0.2">
      <c r="A17" t="s">
        <v>230</v>
      </c>
      <c r="B17" t="s">
        <v>396</v>
      </c>
      <c r="C17" t="s">
        <v>230</v>
      </c>
      <c r="D17" s="37">
        <v>7</v>
      </c>
      <c r="E17" t="s">
        <v>350</v>
      </c>
      <c r="F17" t="s">
        <v>400</v>
      </c>
      <c r="G17" t="s">
        <v>409</v>
      </c>
      <c r="H17" t="s">
        <v>410</v>
      </c>
      <c r="I17" t="s">
        <v>411</v>
      </c>
    </row>
    <row r="18" spans="1:9" x14ac:dyDescent="0.2">
      <c r="A18" t="s">
        <v>412</v>
      </c>
      <c r="B18" t="s">
        <v>413</v>
      </c>
      <c r="C18" t="s">
        <v>230</v>
      </c>
      <c r="D18" s="37">
        <v>10</v>
      </c>
      <c r="E18" t="s">
        <v>350</v>
      </c>
    </row>
    <row r="19" spans="1:9" x14ac:dyDescent="0.2">
      <c r="A19" t="s">
        <v>414</v>
      </c>
      <c r="B19" t="s">
        <v>413</v>
      </c>
      <c r="C19" t="s">
        <v>230</v>
      </c>
      <c r="D19" s="37">
        <v>9</v>
      </c>
      <c r="E19" t="s">
        <v>356</v>
      </c>
    </row>
    <row r="20" spans="1:9" x14ac:dyDescent="0.2">
      <c r="A20" t="s">
        <v>415</v>
      </c>
      <c r="C20" t="s">
        <v>138</v>
      </c>
      <c r="D20" s="37">
        <v>9</v>
      </c>
      <c r="E20" t="s">
        <v>350</v>
      </c>
      <c r="F20" t="s">
        <v>351</v>
      </c>
      <c r="G20" t="s">
        <v>416</v>
      </c>
      <c r="H20" t="s">
        <v>417</v>
      </c>
      <c r="I20" t="s">
        <v>418</v>
      </c>
    </row>
    <row r="21" spans="1:9" x14ac:dyDescent="0.2">
      <c r="A21" t="s">
        <v>419</v>
      </c>
      <c r="B21" t="s">
        <v>359</v>
      </c>
      <c r="C21" t="s">
        <v>53</v>
      </c>
      <c r="D21" s="37">
        <v>8</v>
      </c>
      <c r="E21" t="s">
        <v>350</v>
      </c>
    </row>
    <row r="22" spans="1:9" x14ac:dyDescent="0.2">
      <c r="A22" t="s">
        <v>420</v>
      </c>
      <c r="C22" t="s">
        <v>421</v>
      </c>
      <c r="D22" s="37">
        <v>5</v>
      </c>
      <c r="E22" t="s">
        <v>389</v>
      </c>
    </row>
    <row r="23" spans="1:9" x14ac:dyDescent="0.2">
      <c r="A23" t="s">
        <v>422</v>
      </c>
      <c r="B23" t="s">
        <v>359</v>
      </c>
      <c r="C23" t="s">
        <v>146</v>
      </c>
      <c r="D23" s="37">
        <v>8</v>
      </c>
      <c r="E23" t="s">
        <v>350</v>
      </c>
      <c r="F23" t="s">
        <v>359</v>
      </c>
      <c r="G23" t="s">
        <v>423</v>
      </c>
      <c r="H23" t="s">
        <v>424</v>
      </c>
      <c r="I23" t="s">
        <v>425</v>
      </c>
    </row>
    <row r="24" spans="1:9" x14ac:dyDescent="0.2">
      <c r="A24" t="s">
        <v>426</v>
      </c>
      <c r="B24" t="s">
        <v>369</v>
      </c>
      <c r="C24" t="s">
        <v>234</v>
      </c>
      <c r="D24" s="37">
        <v>7</v>
      </c>
      <c r="E24" t="s">
        <v>350</v>
      </c>
      <c r="F24" t="s">
        <v>369</v>
      </c>
      <c r="G24" t="s">
        <v>427</v>
      </c>
      <c r="H24" t="s">
        <v>428</v>
      </c>
      <c r="I24" t="s">
        <v>429</v>
      </c>
    </row>
    <row r="25" spans="1:9" x14ac:dyDescent="0.2">
      <c r="A25" t="s">
        <v>430</v>
      </c>
      <c r="B25" t="s">
        <v>413</v>
      </c>
      <c r="C25" t="s">
        <v>154</v>
      </c>
      <c r="D25" s="37">
        <v>7</v>
      </c>
      <c r="E25" t="s">
        <v>356</v>
      </c>
    </row>
    <row r="26" spans="1:9" x14ac:dyDescent="0.2">
      <c r="A26" t="s">
        <v>431</v>
      </c>
      <c r="B26" t="s">
        <v>413</v>
      </c>
      <c r="C26" t="s">
        <v>154</v>
      </c>
      <c r="D26" s="37">
        <v>6</v>
      </c>
      <c r="E26" t="s">
        <v>350</v>
      </c>
      <c r="F26" t="s">
        <v>371</v>
      </c>
      <c r="G26" t="s">
        <v>432</v>
      </c>
      <c r="H26" t="s">
        <v>433</v>
      </c>
      <c r="I26" t="s">
        <v>434</v>
      </c>
    </row>
    <row r="27" spans="1:9" x14ac:dyDescent="0.2">
      <c r="A27" t="s">
        <v>435</v>
      </c>
      <c r="B27" t="s">
        <v>413</v>
      </c>
      <c r="C27" t="s">
        <v>154</v>
      </c>
      <c r="D27" s="37">
        <v>7</v>
      </c>
      <c r="E27" t="s">
        <v>356</v>
      </c>
    </row>
    <row r="28" spans="1:9" x14ac:dyDescent="0.2">
      <c r="A28" t="s">
        <v>436</v>
      </c>
      <c r="B28" t="s">
        <v>396</v>
      </c>
      <c r="C28" t="s">
        <v>57</v>
      </c>
      <c r="D28" s="37">
        <v>6</v>
      </c>
      <c r="E28" t="s">
        <v>356</v>
      </c>
    </row>
    <row r="29" spans="1:9" x14ac:dyDescent="0.2">
      <c r="A29" t="s">
        <v>437</v>
      </c>
      <c r="B29" t="s">
        <v>369</v>
      </c>
      <c r="C29" t="s">
        <v>158</v>
      </c>
      <c r="D29" s="37">
        <v>7</v>
      </c>
      <c r="E29" t="s">
        <v>356</v>
      </c>
    </row>
    <row r="30" spans="1:9" x14ac:dyDescent="0.2">
      <c r="A30" t="s">
        <v>438</v>
      </c>
      <c r="B30" t="s">
        <v>369</v>
      </c>
      <c r="C30" t="s">
        <v>158</v>
      </c>
      <c r="D30" s="37">
        <v>7</v>
      </c>
      <c r="E30" t="s">
        <v>350</v>
      </c>
      <c r="F30" t="s">
        <v>369</v>
      </c>
      <c r="G30" t="s">
        <v>439</v>
      </c>
      <c r="H30" t="s">
        <v>440</v>
      </c>
      <c r="I30" t="s">
        <v>441</v>
      </c>
    </row>
    <row r="31" spans="1:9" x14ac:dyDescent="0.2">
      <c r="A31" t="s">
        <v>442</v>
      </c>
      <c r="C31" t="s">
        <v>166</v>
      </c>
      <c r="D31" s="37">
        <v>7</v>
      </c>
      <c r="E31" t="s">
        <v>350</v>
      </c>
    </row>
    <row r="32" spans="1:9" x14ac:dyDescent="0.2">
      <c r="A32" t="s">
        <v>443</v>
      </c>
      <c r="C32" t="s">
        <v>166</v>
      </c>
      <c r="D32" s="37">
        <v>6</v>
      </c>
      <c r="E32" t="s">
        <v>389</v>
      </c>
    </row>
    <row r="33" spans="1:9" x14ac:dyDescent="0.2">
      <c r="A33" t="s">
        <v>444</v>
      </c>
      <c r="B33" t="s">
        <v>413</v>
      </c>
      <c r="C33" t="s">
        <v>166</v>
      </c>
      <c r="D33" s="37">
        <v>6</v>
      </c>
      <c r="E33" t="s">
        <v>350</v>
      </c>
      <c r="F33" t="s">
        <v>351</v>
      </c>
      <c r="G33" t="s">
        <v>445</v>
      </c>
      <c r="H33" t="s">
        <v>446</v>
      </c>
      <c r="I33" t="s">
        <v>447</v>
      </c>
    </row>
    <row r="34" spans="1:9" x14ac:dyDescent="0.2">
      <c r="A34" t="s">
        <v>448</v>
      </c>
      <c r="C34" t="s">
        <v>166</v>
      </c>
      <c r="D34" s="37">
        <v>6</v>
      </c>
      <c r="E34" t="s">
        <v>389</v>
      </c>
    </row>
    <row r="35" spans="1:9" x14ac:dyDescent="0.2">
      <c r="A35" t="s">
        <v>449</v>
      </c>
      <c r="C35" t="s">
        <v>166</v>
      </c>
      <c r="D35" s="37">
        <v>7</v>
      </c>
      <c r="E35" t="s">
        <v>350</v>
      </c>
      <c r="F35" t="s">
        <v>413</v>
      </c>
      <c r="G35" t="s">
        <v>450</v>
      </c>
      <c r="H35" t="s">
        <v>451</v>
      </c>
      <c r="I35" t="s">
        <v>452</v>
      </c>
    </row>
    <row r="36" spans="1:9" x14ac:dyDescent="0.2">
      <c r="A36" t="s">
        <v>453</v>
      </c>
      <c r="B36" t="s">
        <v>396</v>
      </c>
      <c r="C36" t="s">
        <v>166</v>
      </c>
      <c r="D36" s="37">
        <v>7</v>
      </c>
      <c r="E36" t="s">
        <v>350</v>
      </c>
    </row>
    <row r="37" spans="1:9" x14ac:dyDescent="0.2">
      <c r="A37" t="s">
        <v>454</v>
      </c>
      <c r="B37" t="s">
        <v>396</v>
      </c>
      <c r="C37" t="s">
        <v>166</v>
      </c>
      <c r="D37" s="37">
        <v>7</v>
      </c>
      <c r="E37" t="s">
        <v>356</v>
      </c>
    </row>
    <row r="38" spans="1:9" x14ac:dyDescent="0.2">
      <c r="A38" t="s">
        <v>455</v>
      </c>
      <c r="C38" t="s">
        <v>222</v>
      </c>
      <c r="D38" s="37">
        <v>7</v>
      </c>
      <c r="E38" t="s">
        <v>350</v>
      </c>
      <c r="F38" t="s">
        <v>371</v>
      </c>
      <c r="G38" t="s">
        <v>456</v>
      </c>
      <c r="H38" t="s">
        <v>410</v>
      </c>
      <c r="I38" t="s">
        <v>457</v>
      </c>
    </row>
    <row r="39" spans="1:9" x14ac:dyDescent="0.2">
      <c r="A39" t="s">
        <v>458</v>
      </c>
      <c r="C39" t="s">
        <v>459</v>
      </c>
      <c r="D39" s="37">
        <v>8</v>
      </c>
      <c r="E39" t="s">
        <v>356</v>
      </c>
    </row>
    <row r="40" spans="1:9" x14ac:dyDescent="0.2">
      <c r="A40" t="s">
        <v>460</v>
      </c>
      <c r="C40" t="s">
        <v>69</v>
      </c>
      <c r="D40" s="37">
        <v>8</v>
      </c>
      <c r="E40" t="s">
        <v>350</v>
      </c>
      <c r="F40" t="s">
        <v>371</v>
      </c>
      <c r="G40" t="s">
        <v>461</v>
      </c>
      <c r="H40" t="s">
        <v>462</v>
      </c>
      <c r="I40" t="s">
        <v>463</v>
      </c>
    </row>
    <row r="41" spans="1:9" x14ac:dyDescent="0.2">
      <c r="A41" t="s">
        <v>464</v>
      </c>
      <c r="C41" t="s">
        <v>73</v>
      </c>
      <c r="D41" s="37">
        <v>6</v>
      </c>
      <c r="E41" t="s">
        <v>356</v>
      </c>
    </row>
    <row r="42" spans="1:9" x14ac:dyDescent="0.2">
      <c r="A42" t="s">
        <v>465</v>
      </c>
      <c r="B42" t="s">
        <v>396</v>
      </c>
      <c r="C42" t="s">
        <v>170</v>
      </c>
      <c r="D42" s="37">
        <v>6</v>
      </c>
      <c r="E42" t="s">
        <v>356</v>
      </c>
    </row>
    <row r="43" spans="1:9" x14ac:dyDescent="0.2">
      <c r="A43" t="s">
        <v>466</v>
      </c>
      <c r="B43" t="s">
        <v>396</v>
      </c>
      <c r="C43" t="s">
        <v>170</v>
      </c>
      <c r="D43" s="37">
        <v>6</v>
      </c>
      <c r="E43" t="s">
        <v>350</v>
      </c>
      <c r="F43" t="s">
        <v>396</v>
      </c>
      <c r="G43" t="s">
        <v>467</v>
      </c>
      <c r="H43" t="s">
        <v>468</v>
      </c>
      <c r="I43" t="s">
        <v>469</v>
      </c>
    </row>
    <row r="44" spans="1:9" x14ac:dyDescent="0.2">
      <c r="A44" t="s">
        <v>470</v>
      </c>
      <c r="B44" t="s">
        <v>396</v>
      </c>
      <c r="C44" t="s">
        <v>471</v>
      </c>
      <c r="D44" s="37">
        <v>6</v>
      </c>
      <c r="E44" t="s">
        <v>350</v>
      </c>
    </row>
    <row r="45" spans="1:9" x14ac:dyDescent="0.2">
      <c r="A45" t="s">
        <v>472</v>
      </c>
      <c r="C45" t="s">
        <v>77</v>
      </c>
      <c r="D45" s="37">
        <v>11</v>
      </c>
      <c r="E45" t="s">
        <v>356</v>
      </c>
    </row>
    <row r="46" spans="1:9" x14ac:dyDescent="0.2">
      <c r="A46" t="s">
        <v>473</v>
      </c>
      <c r="C46" t="s">
        <v>77</v>
      </c>
      <c r="D46" s="37">
        <v>10</v>
      </c>
      <c r="E46" t="s">
        <v>356</v>
      </c>
    </row>
    <row r="47" spans="1:9" x14ac:dyDescent="0.2">
      <c r="A47" t="s">
        <v>474</v>
      </c>
      <c r="B47" t="s">
        <v>369</v>
      </c>
      <c r="C47" t="s">
        <v>77</v>
      </c>
      <c r="D47" s="37">
        <v>10</v>
      </c>
      <c r="E47" t="s">
        <v>350</v>
      </c>
    </row>
    <row r="48" spans="1:9" x14ac:dyDescent="0.2">
      <c r="A48" t="s">
        <v>475</v>
      </c>
      <c r="B48" t="s">
        <v>413</v>
      </c>
      <c r="C48" t="s">
        <v>77</v>
      </c>
      <c r="D48" s="37">
        <v>11</v>
      </c>
      <c r="E48" t="s">
        <v>350</v>
      </c>
      <c r="F48" t="s">
        <v>413</v>
      </c>
      <c r="G48" t="s">
        <v>476</v>
      </c>
      <c r="H48" t="s">
        <v>477</v>
      </c>
      <c r="I48" t="s">
        <v>478</v>
      </c>
    </row>
    <row r="49" spans="1:9" x14ac:dyDescent="0.2">
      <c r="A49" t="s">
        <v>479</v>
      </c>
      <c r="B49" t="s">
        <v>369</v>
      </c>
      <c r="C49" t="s">
        <v>480</v>
      </c>
      <c r="D49" s="37">
        <v>10</v>
      </c>
      <c r="E49" t="s">
        <v>350</v>
      </c>
    </row>
    <row r="50" spans="1:9" x14ac:dyDescent="0.2">
      <c r="A50" t="s">
        <v>481</v>
      </c>
      <c r="C50" t="s">
        <v>85</v>
      </c>
      <c r="D50" s="37">
        <v>7</v>
      </c>
      <c r="E50" t="s">
        <v>356</v>
      </c>
    </row>
    <row r="51" spans="1:9" x14ac:dyDescent="0.2">
      <c r="A51" t="s">
        <v>482</v>
      </c>
      <c r="C51" t="s">
        <v>85</v>
      </c>
      <c r="D51" s="37">
        <v>6</v>
      </c>
      <c r="E51" t="s">
        <v>350</v>
      </c>
    </row>
    <row r="52" spans="1:9" x14ac:dyDescent="0.2">
      <c r="A52" t="s">
        <v>483</v>
      </c>
      <c r="C52" t="s">
        <v>85</v>
      </c>
      <c r="D52" s="37">
        <v>7</v>
      </c>
      <c r="E52" t="s">
        <v>356</v>
      </c>
    </row>
    <row r="53" spans="1:9" x14ac:dyDescent="0.2">
      <c r="A53" t="s">
        <v>484</v>
      </c>
      <c r="B53" t="s">
        <v>413</v>
      </c>
      <c r="C53" t="s">
        <v>485</v>
      </c>
      <c r="D53" s="37">
        <v>7</v>
      </c>
      <c r="E53" t="s">
        <v>350</v>
      </c>
    </row>
    <row r="54" spans="1:9" x14ac:dyDescent="0.2">
      <c r="A54" t="s">
        <v>486</v>
      </c>
      <c r="B54" t="s">
        <v>369</v>
      </c>
      <c r="C54" t="s">
        <v>257</v>
      </c>
      <c r="D54" s="37">
        <v>6</v>
      </c>
      <c r="E54" t="s">
        <v>350</v>
      </c>
    </row>
    <row r="55" spans="1:9" x14ac:dyDescent="0.2">
      <c r="A55" t="s">
        <v>487</v>
      </c>
      <c r="C55" t="s">
        <v>257</v>
      </c>
      <c r="D55" s="37">
        <v>5</v>
      </c>
      <c r="E55" t="s">
        <v>356</v>
      </c>
    </row>
    <row r="56" spans="1:9" x14ac:dyDescent="0.2">
      <c r="A56" t="s">
        <v>488</v>
      </c>
      <c r="B56" t="s">
        <v>396</v>
      </c>
      <c r="C56" t="s">
        <v>257</v>
      </c>
      <c r="D56" s="37">
        <v>5</v>
      </c>
      <c r="E56" t="s">
        <v>350</v>
      </c>
      <c r="F56" t="s">
        <v>396</v>
      </c>
      <c r="G56" t="s">
        <v>489</v>
      </c>
      <c r="H56" t="s">
        <v>490</v>
      </c>
      <c r="I56" t="s">
        <v>491</v>
      </c>
    </row>
    <row r="57" spans="1:9" x14ac:dyDescent="0.2">
      <c r="A57" t="s">
        <v>492</v>
      </c>
      <c r="C57" t="s">
        <v>257</v>
      </c>
      <c r="D57" s="37">
        <v>5</v>
      </c>
      <c r="E57" t="s">
        <v>350</v>
      </c>
      <c r="F57" t="s">
        <v>351</v>
      </c>
      <c r="G57" t="s">
        <v>493</v>
      </c>
      <c r="H57" t="s">
        <v>494</v>
      </c>
      <c r="I57" t="s">
        <v>495</v>
      </c>
    </row>
    <row r="58" spans="1:9" x14ac:dyDescent="0.2">
      <c r="A58" t="s">
        <v>496</v>
      </c>
      <c r="C58" t="s">
        <v>102</v>
      </c>
      <c r="D58" s="37">
        <v>7</v>
      </c>
      <c r="E58" t="s">
        <v>356</v>
      </c>
    </row>
    <row r="59" spans="1:9" x14ac:dyDescent="0.2">
      <c r="A59" t="s">
        <v>497</v>
      </c>
      <c r="C59" t="s">
        <v>102</v>
      </c>
      <c r="D59" s="37">
        <v>6</v>
      </c>
      <c r="E59" t="s">
        <v>389</v>
      </c>
    </row>
    <row r="60" spans="1:9" x14ac:dyDescent="0.2">
      <c r="A60" t="s">
        <v>498</v>
      </c>
      <c r="C60" t="s">
        <v>102</v>
      </c>
      <c r="D60" s="37">
        <v>6</v>
      </c>
      <c r="E60" t="s">
        <v>356</v>
      </c>
    </row>
    <row r="61" spans="1:9" x14ac:dyDescent="0.2">
      <c r="A61" t="s">
        <v>499</v>
      </c>
      <c r="C61" t="s">
        <v>102</v>
      </c>
      <c r="D61" s="37">
        <v>5</v>
      </c>
      <c r="E61" t="s">
        <v>389</v>
      </c>
    </row>
    <row r="62" spans="1:9" x14ac:dyDescent="0.2">
      <c r="A62" t="s">
        <v>500</v>
      </c>
      <c r="B62" t="s">
        <v>369</v>
      </c>
      <c r="C62" t="s">
        <v>102</v>
      </c>
      <c r="D62" s="37">
        <v>5</v>
      </c>
      <c r="E62" t="s">
        <v>350</v>
      </c>
    </row>
    <row r="63" spans="1:9" x14ac:dyDescent="0.2">
      <c r="A63" t="s">
        <v>501</v>
      </c>
      <c r="B63" t="s">
        <v>369</v>
      </c>
      <c r="C63" t="s">
        <v>242</v>
      </c>
      <c r="D63" s="37">
        <v>9</v>
      </c>
      <c r="E63" t="s">
        <v>370</v>
      </c>
      <c r="F63" t="s">
        <v>400</v>
      </c>
      <c r="G63" t="s">
        <v>502</v>
      </c>
      <c r="H63" t="s">
        <v>503</v>
      </c>
      <c r="I63" t="s">
        <v>504</v>
      </c>
    </row>
    <row r="64" spans="1:9" x14ac:dyDescent="0.2">
      <c r="A64" t="s">
        <v>505</v>
      </c>
      <c r="C64" t="s">
        <v>106</v>
      </c>
      <c r="D64" s="37">
        <v>7</v>
      </c>
      <c r="E64" t="s">
        <v>356</v>
      </c>
    </row>
    <row r="65" spans="1:9" x14ac:dyDescent="0.2">
      <c r="A65" t="s">
        <v>506</v>
      </c>
      <c r="B65" t="s">
        <v>359</v>
      </c>
      <c r="C65" t="s">
        <v>106</v>
      </c>
      <c r="D65" s="37">
        <v>9</v>
      </c>
      <c r="E65" t="s">
        <v>350</v>
      </c>
      <c r="F65" t="s">
        <v>359</v>
      </c>
      <c r="G65" t="s">
        <v>507</v>
      </c>
      <c r="H65" t="s">
        <v>508</v>
      </c>
      <c r="I65" t="s">
        <v>509</v>
      </c>
    </row>
    <row r="66" spans="1:9" x14ac:dyDescent="0.2">
      <c r="A66" t="s">
        <v>510</v>
      </c>
      <c r="B66" t="s">
        <v>359</v>
      </c>
      <c r="C66" t="s">
        <v>110</v>
      </c>
      <c r="D66" s="37">
        <v>7</v>
      </c>
      <c r="E66" t="s">
        <v>511</v>
      </c>
    </row>
    <row r="67" spans="1:9" x14ac:dyDescent="0.2">
      <c r="A67" t="s">
        <v>512</v>
      </c>
      <c r="B67" t="s">
        <v>359</v>
      </c>
      <c r="C67" t="s">
        <v>110</v>
      </c>
      <c r="D67" s="37">
        <v>8</v>
      </c>
      <c r="E67" t="s">
        <v>356</v>
      </c>
    </row>
    <row r="68" spans="1:9" x14ac:dyDescent="0.2">
      <c r="A68" t="s">
        <v>513</v>
      </c>
      <c r="C68" t="s">
        <v>110</v>
      </c>
      <c r="D68" s="37">
        <v>8</v>
      </c>
      <c r="E68" t="s">
        <v>356</v>
      </c>
    </row>
    <row r="69" spans="1:9" x14ac:dyDescent="0.2">
      <c r="A69" t="s">
        <v>514</v>
      </c>
      <c r="B69" t="s">
        <v>359</v>
      </c>
      <c r="C69" t="s">
        <v>110</v>
      </c>
      <c r="D69" s="37">
        <v>8</v>
      </c>
      <c r="E69" t="s">
        <v>356</v>
      </c>
    </row>
    <row r="70" spans="1:9" x14ac:dyDescent="0.2">
      <c r="A70" t="s">
        <v>515</v>
      </c>
      <c r="C70" t="s">
        <v>110</v>
      </c>
      <c r="D70" s="37">
        <v>8</v>
      </c>
      <c r="E70" t="s">
        <v>350</v>
      </c>
      <c r="F70" t="s">
        <v>400</v>
      </c>
      <c r="G70" t="s">
        <v>516</v>
      </c>
      <c r="H70" t="s">
        <v>517</v>
      </c>
      <c r="I70" t="s">
        <v>518</v>
      </c>
    </row>
    <row r="71" spans="1:9" x14ac:dyDescent="0.2">
      <c r="A71" t="s">
        <v>519</v>
      </c>
      <c r="C71" t="s">
        <v>520</v>
      </c>
      <c r="D71" s="37">
        <v>6</v>
      </c>
      <c r="E71" t="s">
        <v>356</v>
      </c>
    </row>
    <row r="72" spans="1:9" x14ac:dyDescent="0.2">
      <c r="A72" t="s">
        <v>521</v>
      </c>
      <c r="C72" t="s">
        <v>522</v>
      </c>
      <c r="D72" s="37">
        <v>6</v>
      </c>
      <c r="E72" t="s">
        <v>356</v>
      </c>
    </row>
    <row r="73" spans="1:9" x14ac:dyDescent="0.2">
      <c r="A73" t="s">
        <v>523</v>
      </c>
      <c r="B73" t="s">
        <v>359</v>
      </c>
      <c r="C73" t="s">
        <v>226</v>
      </c>
      <c r="D73" s="37">
        <v>8</v>
      </c>
      <c r="E73" t="s">
        <v>350</v>
      </c>
      <c r="F73" t="s">
        <v>359</v>
      </c>
      <c r="G73" t="s">
        <v>524</v>
      </c>
      <c r="H73" t="s">
        <v>525</v>
      </c>
      <c r="I73" t="s">
        <v>526</v>
      </c>
    </row>
    <row r="74" spans="1:9" x14ac:dyDescent="0.2">
      <c r="A74" t="s">
        <v>527</v>
      </c>
      <c r="B74" t="s">
        <v>413</v>
      </c>
      <c r="C74" t="s">
        <v>114</v>
      </c>
      <c r="D74" s="37">
        <v>6</v>
      </c>
      <c r="E74" t="s">
        <v>350</v>
      </c>
      <c r="F74" t="s">
        <v>413</v>
      </c>
      <c r="G74" t="s">
        <v>528</v>
      </c>
      <c r="H74" t="s">
        <v>529</v>
      </c>
      <c r="I74" t="s">
        <v>530</v>
      </c>
    </row>
    <row r="75" spans="1:9" x14ac:dyDescent="0.2">
      <c r="A75" t="s">
        <v>531</v>
      </c>
      <c r="C75" t="s">
        <v>114</v>
      </c>
      <c r="D75" s="37">
        <v>5</v>
      </c>
      <c r="E75" t="s">
        <v>389</v>
      </c>
    </row>
    <row r="76" spans="1:9" x14ac:dyDescent="0.2">
      <c r="A76" t="s">
        <v>532</v>
      </c>
      <c r="B76" t="s">
        <v>359</v>
      </c>
      <c r="C76" t="s">
        <v>114</v>
      </c>
      <c r="D76" s="37">
        <v>5</v>
      </c>
      <c r="E76" t="s">
        <v>350</v>
      </c>
      <c r="F76" t="s">
        <v>351</v>
      </c>
      <c r="G76" t="s">
        <v>533</v>
      </c>
      <c r="H76" t="s">
        <v>534</v>
      </c>
      <c r="I76" t="s">
        <v>535</v>
      </c>
    </row>
    <row r="77" spans="1:9" x14ac:dyDescent="0.2">
      <c r="A77" t="s">
        <v>536</v>
      </c>
      <c r="B77" t="s">
        <v>359</v>
      </c>
      <c r="C77" t="s">
        <v>174</v>
      </c>
      <c r="D77" s="37">
        <v>9</v>
      </c>
      <c r="E77" t="s">
        <v>356</v>
      </c>
    </row>
    <row r="78" spans="1:9" x14ac:dyDescent="0.2">
      <c r="A78" t="s">
        <v>537</v>
      </c>
      <c r="B78" t="s">
        <v>359</v>
      </c>
      <c r="C78" t="s">
        <v>174</v>
      </c>
      <c r="D78" s="37">
        <v>7</v>
      </c>
      <c r="E78" t="s">
        <v>350</v>
      </c>
    </row>
    <row r="79" spans="1:9" x14ac:dyDescent="0.2">
      <c r="A79" t="s">
        <v>538</v>
      </c>
      <c r="C79" t="s">
        <v>539</v>
      </c>
      <c r="D79" s="37">
        <v>8</v>
      </c>
      <c r="E79" t="s">
        <v>350</v>
      </c>
      <c r="F79" t="s">
        <v>400</v>
      </c>
      <c r="G79" t="s">
        <v>540</v>
      </c>
      <c r="H79" t="s">
        <v>541</v>
      </c>
      <c r="I79" t="s">
        <v>542</v>
      </c>
    </row>
    <row r="80" spans="1:9" x14ac:dyDescent="0.2">
      <c r="A80" t="s">
        <v>543</v>
      </c>
      <c r="E80" t="s">
        <v>544</v>
      </c>
    </row>
    <row r="81" spans="1:5" x14ac:dyDescent="0.2">
      <c r="A81" t="s">
        <v>545</v>
      </c>
      <c r="E81" t="s">
        <v>544</v>
      </c>
    </row>
    <row r="82" spans="1:5" x14ac:dyDescent="0.2">
      <c r="A82" t="s">
        <v>546</v>
      </c>
      <c r="E82" t="s">
        <v>544</v>
      </c>
    </row>
    <row r="83" spans="1:5" x14ac:dyDescent="0.2">
      <c r="A83" t="s">
        <v>547</v>
      </c>
      <c r="E83" t="s">
        <v>544</v>
      </c>
    </row>
    <row r="84" spans="1:5" x14ac:dyDescent="0.2">
      <c r="A84" t="s">
        <v>548</v>
      </c>
      <c r="E84" t="s">
        <v>544</v>
      </c>
    </row>
    <row r="85" spans="1:5" x14ac:dyDescent="0.2">
      <c r="A85" t="s">
        <v>549</v>
      </c>
      <c r="B85" t="s">
        <v>396</v>
      </c>
      <c r="D85" s="37">
        <v>3</v>
      </c>
      <c r="E85" t="s">
        <v>356</v>
      </c>
    </row>
    <row r="86" spans="1:5" x14ac:dyDescent="0.2">
      <c r="A86" t="s">
        <v>550</v>
      </c>
      <c r="B86" t="s">
        <v>396</v>
      </c>
      <c r="D86" s="37">
        <v>4</v>
      </c>
      <c r="E86" t="s">
        <v>356</v>
      </c>
    </row>
    <row r="87" spans="1:5" x14ac:dyDescent="0.2">
      <c r="A87" t="s">
        <v>551</v>
      </c>
      <c r="B87" t="s">
        <v>396</v>
      </c>
      <c r="D87" s="37">
        <v>5</v>
      </c>
      <c r="E87" t="s">
        <v>356</v>
      </c>
    </row>
    <row r="88" spans="1:5" x14ac:dyDescent="0.2">
      <c r="A88" t="s">
        <v>552</v>
      </c>
      <c r="B88" t="s">
        <v>369</v>
      </c>
      <c r="D88" s="37">
        <v>6</v>
      </c>
      <c r="E88" t="s">
        <v>389</v>
      </c>
    </row>
    <row r="89" spans="1:5" x14ac:dyDescent="0.2">
      <c r="A89" t="s">
        <v>553</v>
      </c>
      <c r="B89" t="s">
        <v>369</v>
      </c>
      <c r="D89" s="37">
        <v>3</v>
      </c>
      <c r="E89" t="s">
        <v>356</v>
      </c>
    </row>
    <row r="90" spans="1:5" x14ac:dyDescent="0.2">
      <c r="A90" t="s">
        <v>554</v>
      </c>
      <c r="B90" t="s">
        <v>369</v>
      </c>
      <c r="D90" s="37">
        <v>4</v>
      </c>
      <c r="E90" t="s">
        <v>356</v>
      </c>
    </row>
    <row r="91" spans="1:5" x14ac:dyDescent="0.2">
      <c r="A91" t="s">
        <v>555</v>
      </c>
      <c r="B91" t="s">
        <v>369</v>
      </c>
      <c r="D91" s="37">
        <v>5</v>
      </c>
      <c r="E91" t="s">
        <v>356</v>
      </c>
    </row>
    <row r="92" spans="1:5" x14ac:dyDescent="0.2">
      <c r="A92" t="s">
        <v>556</v>
      </c>
      <c r="E92" t="s">
        <v>544</v>
      </c>
    </row>
    <row r="93" spans="1:5" x14ac:dyDescent="0.2">
      <c r="A93" t="s">
        <v>557</v>
      </c>
      <c r="B93" t="s">
        <v>396</v>
      </c>
      <c r="E93" t="s">
        <v>544</v>
      </c>
    </row>
    <row r="94" spans="1:5" x14ac:dyDescent="0.2">
      <c r="A94" t="s">
        <v>558</v>
      </c>
      <c r="E94" t="s">
        <v>544</v>
      </c>
    </row>
    <row r="95" spans="1:5" x14ac:dyDescent="0.2">
      <c r="A95" t="s">
        <v>559</v>
      </c>
      <c r="E95" t="s">
        <v>544</v>
      </c>
    </row>
    <row r="96" spans="1:5" x14ac:dyDescent="0.2">
      <c r="A96" t="s">
        <v>560</v>
      </c>
      <c r="E96" t="s">
        <v>544</v>
      </c>
    </row>
    <row r="97" spans="1:5" x14ac:dyDescent="0.2">
      <c r="A97" t="s">
        <v>561</v>
      </c>
      <c r="B97" t="s">
        <v>413</v>
      </c>
      <c r="D97" s="37">
        <v>3</v>
      </c>
      <c r="E97" t="s">
        <v>356</v>
      </c>
    </row>
    <row r="98" spans="1:5" x14ac:dyDescent="0.2">
      <c r="A98" t="s">
        <v>562</v>
      </c>
      <c r="B98" t="s">
        <v>413</v>
      </c>
      <c r="D98" s="37">
        <v>4</v>
      </c>
      <c r="E98" t="s">
        <v>356</v>
      </c>
    </row>
    <row r="99" spans="1:5" x14ac:dyDescent="0.2">
      <c r="A99" t="s">
        <v>563</v>
      </c>
      <c r="B99" t="s">
        <v>413</v>
      </c>
      <c r="D99" s="37">
        <v>5</v>
      </c>
      <c r="E99" t="s">
        <v>356</v>
      </c>
    </row>
    <row r="100" spans="1:5" x14ac:dyDescent="0.2">
      <c r="A100" t="s">
        <v>564</v>
      </c>
      <c r="B100" t="s">
        <v>396</v>
      </c>
      <c r="D100" s="37">
        <v>6</v>
      </c>
      <c r="E100" t="s">
        <v>389</v>
      </c>
    </row>
  </sheetData>
  <conditionalFormatting sqref="C1:C1048576">
    <cfRule type="duplicateValues" dxfId="0" priority="2"/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iOS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Cards</vt:lpstr>
      <vt:lpstr>Skills</vt:lpstr>
      <vt:lpstr>Trash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Claire DIBARBOURE</cp:lastModifiedBy>
  <cp:revision>0</cp:revision>
  <dcterms:created xsi:type="dcterms:W3CDTF">2026-05-24T12:56:47Z</dcterms:created>
  <dcterms:modified xsi:type="dcterms:W3CDTF">2026-06-21T22:49:32Z</dcterms:modified>
  <dc:language>en-US</dc:language>
</cp:coreProperties>
</file>